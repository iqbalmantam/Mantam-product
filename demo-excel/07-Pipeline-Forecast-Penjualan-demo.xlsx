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DEAL" sheetId="3" state="visible" r:id="rId3"/>
    <sheet xmlns:r="http://schemas.openxmlformats.org/officeDocument/2006/relationships" name="RINGKASAN" sheetId="4" state="visible" r:id="rId4"/>
  </sheets>
  <definedNames>
    <definedName name="_xlnm._FilterDatabase" localSheetId="2" hidden="1">'DEAL'!$A$5:$L$65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#,##0;(#,##0);&quot;-&quot;"/>
    <numFmt numFmtId="167" formatCode="0.0%;(0.0%);&quot;-&quot;"/>
    <numFmt numFmtId="168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65" fontId="9" fillId="3" borderId="1" applyProtection="1" pivotButton="0" quotePrefix="0" xfId="0">
      <protection locked="0" hidden="0"/>
    </xf>
    <xf numFmtId="166" fontId="9" fillId="3" borderId="1" applyProtection="1" pivotButton="0" quotePrefix="0" xfId="0">
      <protection locked="0" hidden="0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9" fontId="9" fillId="3" borderId="1" applyProtection="1" pivotButton="0" quotePrefix="0" xfId="0">
      <protection locked="0" hidden="0"/>
    </xf>
    <xf numFmtId="9" fontId="9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166" fontId="9" fillId="0" borderId="1" applyProtection="1" pivotButton="0" quotePrefix="0" xfId="0">
      <protection locked="0" hidden="0"/>
    </xf>
    <xf numFmtId="165" fontId="9" fillId="0" borderId="1" applyProtection="1" pivotButton="0" quotePrefix="0" xfId="0">
      <protection locked="0" hidden="0"/>
    </xf>
    <xf numFmtId="9" fontId="8" fillId="0" borderId="1" applyAlignment="1" pivotButton="0" quotePrefix="0" xfId="0">
      <alignment horizontal="center" vertical="center"/>
    </xf>
    <xf numFmtId="166" fontId="8" fillId="0" borderId="1" pivotButton="0" quotePrefix="0" xfId="0"/>
    <xf numFmtId="1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1" fontId="7" fillId="6" borderId="1" applyAlignment="1" pivotButton="0" quotePrefix="0" xfId="0">
      <alignment horizontal="center" vertical="center"/>
    </xf>
    <xf numFmtId="166" fontId="7" fillId="6" borderId="1" pivotButton="0" quotePrefix="0" xfId="0"/>
    <xf numFmtId="166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name val="Arial"/>
        <b val="1"/>
        <color rgb="00C0392B"/>
        <sz val="10"/>
      </font>
      <fill>
        <patternFill patternType="solid">
          <fgColor rgb="00F5B7B1"/>
        </patternFill>
      </fill>
    </dxf>
    <dxf>
      <font>
        <name val="Arial"/>
        <b val="1"/>
        <color rgb="001E8449"/>
        <sz val="10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Pipeline &amp; Forecast Penjualan</t>
        </is>
      </c>
    </row>
    <row r="3" ht="44" customHeight="1">
      <c r="B3" s="3" t="inlineStr">
        <is>
          <t>Kelola peluang penjualan dari prospek sampai menang, hitung nilai tertimbang, dan baca prakiraan pendapatan.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Atur tanggal laporan, target penjualan, dan probabilitas tahap di PARAMETER (sel kuning).</t>
        </is>
      </c>
    </row>
    <row r="9" ht="16" customHeight="1">
      <c r="B9" s="8" t="inlineStr">
        <is>
          <t>Langkah 2</t>
        </is>
      </c>
      <c r="C9" s="9" t="inlineStr">
        <is>
          <t>Isi sales dan sumber lead di PARAMETER.</t>
        </is>
      </c>
    </row>
    <row r="10" ht="16" customHeight="1">
      <c r="B10" s="8" t="inlineStr">
        <is>
          <t>Langkah 3</t>
        </is>
      </c>
      <c r="C10" s="9" t="inlineStr">
        <is>
          <t>Masukkan peluang di DEAL; probabilitas, nilai tertimbang, umur, dan status terisi otomatis.</t>
        </is>
      </c>
    </row>
    <row r="11" ht="16" customHeight="1">
      <c r="B11" s="8" t="inlineStr">
        <is>
          <t>Langkah 4</t>
        </is>
      </c>
      <c r="C11" s="9" t="inlineStr">
        <is>
          <t>Untuk deal Menang atau Kalah, isi kolom Target Tutup dengan tanggal tutup sebenarnya.</t>
        </is>
      </c>
    </row>
    <row r="12" ht="16" customHeight="1">
      <c r="B12" s="8" t="inlineStr">
        <is>
          <t>Langkah 5</t>
        </is>
      </c>
      <c r="C12" s="9" t="inlineStr">
        <is>
          <t>Baca RINGKASAN.</t>
        </is>
      </c>
    </row>
    <row r="14">
      <c r="B14" s="6" t="inlineStr">
        <is>
          <t>Isi berkas</t>
        </is>
      </c>
      <c r="C14" s="7" t="n"/>
    </row>
    <row r="15" ht="16" customHeight="1">
      <c r="B15" s="8" t="inlineStr">
        <is>
          <t>PARAMETER</t>
        </is>
      </c>
      <c r="C15" s="9" t="inlineStr">
        <is>
          <t>Tanggal laporan, target penjualan, probabilitas tiap tahap, daftar sales dan sumber lead.</t>
        </is>
      </c>
    </row>
    <row r="16" ht="30" customHeight="1">
      <c r="B16" s="8" t="inlineStr">
        <is>
          <t>DEAL</t>
        </is>
      </c>
      <c r="C16" s="9" t="inlineStr">
        <is>
          <t>Daftar peluang penjualan (kapasitas 60 baris): nilai, tahap, tanggal, probabilitas otomatis, umur, dan status.</t>
        </is>
      </c>
    </row>
    <row r="17" ht="30" customHeight="1">
      <c r="B17" s="8" t="inlineStr">
        <is>
          <t>RINGKASAN</t>
        </is>
      </c>
      <c r="C17" s="9" t="inlineStr">
        <is>
          <t>Nilai pipeline per tahap, nilai tertimbang, win rate, rata-rata nilai deal, dan coverage terhadap target.</t>
        </is>
      </c>
    </row>
    <row r="19">
      <c r="B19" s="6" t="inlineStr">
        <is>
          <t>Legenda warna</t>
        </is>
      </c>
      <c r="C19" s="7" t="n"/>
    </row>
    <row r="20">
      <c r="B20" s="10" t="inlineStr">
        <is>
          <t>Teks biru</t>
        </is>
      </c>
      <c r="C20" s="11" t="inlineStr">
        <is>
          <t>Sel input: boleh Anda ubah (tidak terkunci).</t>
        </is>
      </c>
    </row>
    <row r="21">
      <c r="B21" s="12" t="inlineStr">
        <is>
          <t>Sel kuning</t>
        </is>
      </c>
      <c r="C21" s="11" t="inlineStr">
        <is>
          <t>Parameter kunci: periksa terlebih dulu.</t>
        </is>
      </c>
    </row>
    <row r="22">
      <c r="B22" s="11" t="inlineStr">
        <is>
          <t>Teks hitam</t>
        </is>
      </c>
      <c r="C22" s="11" t="inlineStr">
        <is>
          <t>Rumus otomatis (terkunci; Review &gt; Unprotect Sheet tanpa kata sandi bila perlu).</t>
        </is>
      </c>
    </row>
    <row r="24">
      <c r="B24" s="6" t="inlineStr">
        <is>
          <t>Catatan</t>
        </is>
      </c>
      <c r="C24" s="7" t="n"/>
    </row>
    <row r="25" ht="16" customHeight="1">
      <c r="C25" s="9" t="inlineStr">
        <is>
          <t>• Seluruh data adalah simulasi buatan, bukan data perusahaan nyata.</t>
        </is>
      </c>
    </row>
    <row r="26" ht="30" customHeight="1">
      <c r="C26" s="9" t="inlineStr">
        <is>
          <t>• Hasil perhitungan adalah alat bantu; verifikasi dengan akuntan/konsultan sebelum dipakai untuk keputusan atau pelaporan resmi.</t>
        </is>
      </c>
    </row>
    <row r="27" ht="30" customHeight="1">
      <c r="C27" s="9" t="inlineStr">
        <is>
          <t>• Nilai tertimbang = nilai × probabilitas tahap; probabilitas adalah asumsi yang sebaiknya disesuaikan dengan data historis perusahaan Anda.</t>
        </is>
      </c>
    </row>
    <row r="28" ht="16" customHeight="1">
      <c r="C28" s="9" t="inlineStr">
        <is>
          <t>• Status Terlambat = deal terbuka yang target tutupnya sudah lewat tanggal laporan.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Tanggal laporan</t>
        </is>
      </c>
      <c r="C5" s="17" t="n">
        <v>46326</v>
      </c>
    </row>
    <row r="6">
      <c r="B6" s="16" t="inlineStr">
        <is>
          <t>Target penjualan periode (Rp)</t>
        </is>
      </c>
      <c r="C6" s="18" t="n">
        <v>2000000000</v>
      </c>
    </row>
    <row r="8" ht="20" customHeight="1">
      <c r="B8" s="19" t="inlineStr">
        <is>
          <t>Tahap</t>
        </is>
      </c>
      <c r="C8" s="19" t="inlineStr">
        <is>
          <t>Probabilitas</t>
        </is>
      </c>
    </row>
    <row r="9">
      <c r="B9" s="20" t="inlineStr">
        <is>
          <t>Prospek</t>
        </is>
      </c>
      <c r="C9" s="21" t="n">
        <v>0.1</v>
      </c>
    </row>
    <row r="10">
      <c r="B10" s="20" t="inlineStr">
        <is>
          <t>Kualifikasi</t>
        </is>
      </c>
      <c r="C10" s="21" t="n">
        <v>0.25</v>
      </c>
    </row>
    <row r="11">
      <c r="B11" s="20" t="inlineStr">
        <is>
          <t>Proposal</t>
        </is>
      </c>
      <c r="C11" s="21" t="n">
        <v>0.5</v>
      </c>
    </row>
    <row r="12">
      <c r="B12" s="20" t="inlineStr">
        <is>
          <t>Negosiasi</t>
        </is>
      </c>
      <c r="C12" s="21" t="n">
        <v>0.75</v>
      </c>
    </row>
    <row r="13">
      <c r="B13" s="20" t="inlineStr">
        <is>
          <t>Menang</t>
        </is>
      </c>
      <c r="C13" s="22" t="n">
        <v>1</v>
      </c>
    </row>
    <row r="14">
      <c r="B14" s="20" t="inlineStr">
        <is>
          <t>Kalah</t>
        </is>
      </c>
      <c r="C14" s="22" t="n">
        <v>0</v>
      </c>
    </row>
    <row r="16" ht="20" customHeight="1">
      <c r="B16" s="19" t="inlineStr">
        <is>
          <t>Sales</t>
        </is>
      </c>
      <c r="C16" s="19" t="inlineStr">
        <is>
          <t>Target (Rp)</t>
        </is>
      </c>
      <c r="D16" s="19" t="inlineStr">
        <is>
          <t>Sumber lead</t>
        </is>
      </c>
    </row>
    <row r="17">
      <c r="B17" s="23" t="inlineStr">
        <is>
          <t>Rina Pratama</t>
        </is>
      </c>
      <c r="C17" s="24" t="n">
        <v>625000000</v>
      </c>
      <c r="D17" s="23" t="inlineStr">
        <is>
          <t>Referral</t>
        </is>
      </c>
    </row>
    <row r="18">
      <c r="B18" s="23" t="inlineStr">
        <is>
          <t>Dimas Anggoro</t>
        </is>
      </c>
      <c r="C18" s="24" t="n">
        <v>625000000</v>
      </c>
      <c r="D18" s="23" t="inlineStr">
        <is>
          <t>Website</t>
        </is>
      </c>
    </row>
    <row r="19">
      <c r="B19" s="23" t="inlineStr">
        <is>
          <t>Sekar Wulandari</t>
        </is>
      </c>
      <c r="C19" s="24" t="n">
        <v>625000000</v>
      </c>
      <c r="D19" s="23" t="inlineStr">
        <is>
          <t>Pameran</t>
        </is>
      </c>
    </row>
    <row r="20">
      <c r="B20" s="23" t="n"/>
      <c r="C20" s="24" t="n"/>
      <c r="D20" s="23" t="inlineStr">
        <is>
          <t>Cold Call</t>
        </is>
      </c>
    </row>
    <row r="21">
      <c r="B21" s="23" t="n"/>
      <c r="C21" s="24" t="n"/>
      <c r="D21" s="23" t="inlineStr">
        <is>
          <t>Media Sosial</t>
        </is>
      </c>
    </row>
    <row r="22">
      <c r="B22" s="23" t="n"/>
      <c r="C22" s="24" t="n"/>
      <c r="D22" s="23" t="inlineStr">
        <is>
          <t>Mitra</t>
        </is>
      </c>
    </row>
    <row r="23">
      <c r="B23" s="23" t="n"/>
      <c r="C23" s="24" t="n"/>
      <c r="D23" s="23" t="n"/>
    </row>
    <row r="24">
      <c r="B24" s="23" t="n"/>
      <c r="C24" s="24" t="n"/>
      <c r="D24" s="2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E3"/>
  </mergeCells>
  <dataValidations count="1">
    <dataValidation sqref="C9:C14" showDropDown="0" showInputMessage="0" showErrorMessage="1" allowBlank="1" error="Isi angka antara 0 dan 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14" customWidth="1" min="4" max="4"/>
    <col width="13" customWidth="1" min="5" max="5"/>
    <col width="16" customWidth="1" min="6" max="6"/>
    <col width="13" customWidth="1" min="7" max="7"/>
    <col width="13" customWidth="1" min="8" max="8"/>
    <col width="12" customWidth="1" min="9" max="9"/>
    <col width="18" customWidth="1" min="10" max="10"/>
    <col width="11" customWidth="1" min="11" max="11"/>
    <col width="12" customWidth="1" min="12" max="12"/>
  </cols>
  <sheetData>
    <row r="1" ht="24" customHeight="1">
      <c r="A1" s="13" t="inlineStr">
        <is>
          <t>Daftar Peluang Penjualan</t>
        </is>
      </c>
    </row>
    <row r="2">
      <c r="A2" s="14" t="inlineStr">
        <is>
          <t>Kapasitas 60 baris</t>
        </is>
      </c>
    </row>
    <row r="3">
      <c r="A3" s="15" t="inlineStr">
        <is>
          <t>VERSI DEMO: kapasitas &amp; fitur dibatasi, data simulasi. Versi lengkap: WhatsApp 089623291732</t>
        </is>
      </c>
    </row>
    <row r="5" ht="34" customHeight="1">
      <c r="A5" s="19" t="inlineStr">
        <is>
          <t>ID</t>
        </is>
      </c>
      <c r="B5" s="19" t="inlineStr">
        <is>
          <t>Pelanggan</t>
        </is>
      </c>
      <c r="C5" s="19" t="inlineStr">
        <is>
          <t>Sales</t>
        </is>
      </c>
      <c r="D5" s="19" t="inlineStr">
        <is>
          <t>Sumber</t>
        </is>
      </c>
      <c r="E5" s="19" t="inlineStr">
        <is>
          <t>Tahap</t>
        </is>
      </c>
      <c r="F5" s="19" t="inlineStr">
        <is>
          <t>Nilai (Rp)</t>
        </is>
      </c>
      <c r="G5" s="19" t="inlineStr">
        <is>
          <t>Tgl Dibuat</t>
        </is>
      </c>
      <c r="H5" s="19" t="inlineStr">
        <is>
          <t>Target Tutup</t>
        </is>
      </c>
      <c r="I5" s="19" t="inlineStr">
        <is>
          <t>Probabilitas</t>
        </is>
      </c>
      <c r="J5" s="19" t="inlineStr">
        <is>
          <t>Nilai Tertimbang (Rp)</t>
        </is>
      </c>
      <c r="K5" s="19" t="inlineStr">
        <is>
          <t>Umur (hari)</t>
        </is>
      </c>
      <c r="L5" s="19" t="inlineStr">
        <is>
          <t>Status</t>
        </is>
      </c>
    </row>
    <row r="6">
      <c r="A6" s="23" t="inlineStr">
        <is>
          <t>D-001</t>
        </is>
      </c>
      <c r="B6" s="23" t="inlineStr">
        <is>
          <t>PT Indo Sejahtera</t>
        </is>
      </c>
      <c r="C6" s="23" t="inlineStr">
        <is>
          <t>Sekar Wulandari</t>
        </is>
      </c>
      <c r="D6" s="23" t="inlineStr">
        <is>
          <t>Media Sosial</t>
        </is>
      </c>
      <c r="E6" s="23" t="inlineStr">
        <is>
          <t>Menang</t>
        </is>
      </c>
      <c r="F6" s="24" t="n">
        <v>56000000</v>
      </c>
      <c r="G6" s="25" t="n">
        <v>46228</v>
      </c>
      <c r="H6" s="25" t="n">
        <v>46266</v>
      </c>
      <c r="I6" s="26">
        <f>IF(E6="","",IFERROR(INDEX(PARAMETER!$C$9:$C$14,MATCH(E6,PARAMETER!$B$9:$B$14,0)),0))</f>
        <v/>
      </c>
      <c r="J6" s="27">
        <f>IF(OR(F6="",I6=""),"",F6*I6)</f>
        <v/>
      </c>
      <c r="K6" s="28">
        <f>IF(OR(E6="",G6=""),"",IF(OR(E6="Menang",E6="Kalah"),"",PARAMETER!$C$5-G6))</f>
        <v/>
      </c>
      <c r="L6" s="29">
        <f>IF(E6="","",IF(OR(E6="Menang",E6="Kalah"),E6,IF(H6&lt;PARAMETER!$C$5,"Terlambat","Berjalan")))</f>
        <v/>
      </c>
    </row>
    <row r="7">
      <c r="A7" s="23" t="inlineStr">
        <is>
          <t>D-002</t>
        </is>
      </c>
      <c r="B7" s="23" t="inlineStr">
        <is>
          <t>PT Nusantara Jaya</t>
        </is>
      </c>
      <c r="C7" s="23" t="inlineStr">
        <is>
          <t>Dimas Anggoro</t>
        </is>
      </c>
      <c r="D7" s="23" t="inlineStr">
        <is>
          <t>Website</t>
        </is>
      </c>
      <c r="E7" s="23" t="inlineStr">
        <is>
          <t>Kualifikasi</t>
        </is>
      </c>
      <c r="F7" s="24" t="n">
        <v>340000000</v>
      </c>
      <c r="G7" s="25" t="n">
        <v>46169</v>
      </c>
      <c r="H7" s="25" t="n">
        <v>46379</v>
      </c>
      <c r="I7" s="26">
        <f>IF(E7="","",IFERROR(INDEX(PARAMETER!$C$9:$C$14,MATCH(E7,PARAMETER!$B$9:$B$14,0)),0))</f>
        <v/>
      </c>
      <c r="J7" s="27">
        <f>IF(OR(F7="",I7=""),"",F7*I7)</f>
        <v/>
      </c>
      <c r="K7" s="28">
        <f>IF(OR(E7="",G7=""),"",IF(OR(E7="Menang",E7="Kalah"),"",PARAMETER!$C$5-G7))</f>
        <v/>
      </c>
      <c r="L7" s="29">
        <f>IF(E7="","",IF(OR(E7="Menang",E7="Kalah"),E7,IF(H7&lt;PARAMETER!$C$5,"Terlambat","Berjalan")))</f>
        <v/>
      </c>
    </row>
    <row r="8">
      <c r="A8" s="23" t="inlineStr">
        <is>
          <t>D-003</t>
        </is>
      </c>
      <c r="B8" s="23" t="inlineStr">
        <is>
          <t>PT Garuda Teknik</t>
        </is>
      </c>
      <c r="C8" s="23" t="inlineStr">
        <is>
          <t>Dimas Anggoro</t>
        </is>
      </c>
      <c r="D8" s="23" t="inlineStr">
        <is>
          <t>Referral</t>
        </is>
      </c>
      <c r="E8" s="23" t="inlineStr">
        <is>
          <t>Menang</t>
        </is>
      </c>
      <c r="F8" s="24" t="n">
        <v>480000000</v>
      </c>
      <c r="G8" s="25" t="n">
        <v>46263</v>
      </c>
      <c r="H8" s="25" t="n">
        <v>46294</v>
      </c>
      <c r="I8" s="26">
        <f>IF(E8="","",IFERROR(INDEX(PARAMETER!$C$9:$C$14,MATCH(E8,PARAMETER!$B$9:$B$14,0)),0))</f>
        <v/>
      </c>
      <c r="J8" s="27">
        <f>IF(OR(F8="",I8=""),"",F8*I8)</f>
        <v/>
      </c>
      <c r="K8" s="28">
        <f>IF(OR(E8="",G8=""),"",IF(OR(E8="Menang",E8="Kalah"),"",PARAMETER!$C$5-G8))</f>
        <v/>
      </c>
      <c r="L8" s="29">
        <f>IF(E8="","",IF(OR(E8="Menang",E8="Kalah"),E8,IF(H8&lt;PARAMETER!$C$5,"Terlambat","Berjalan")))</f>
        <v/>
      </c>
    </row>
    <row r="9">
      <c r="A9" s="23" t="inlineStr">
        <is>
          <t>D-004</t>
        </is>
      </c>
      <c r="B9" s="23" t="inlineStr">
        <is>
          <t>PT Bumi Lestari</t>
        </is>
      </c>
      <c r="C9" s="23" t="inlineStr">
        <is>
          <t>Rina Pratama</t>
        </is>
      </c>
      <c r="D9" s="23" t="inlineStr">
        <is>
          <t>Referral</t>
        </is>
      </c>
      <c r="E9" s="23" t="inlineStr">
        <is>
          <t>Prospek</t>
        </is>
      </c>
      <c r="F9" s="24" t="n">
        <v>88000000</v>
      </c>
      <c r="G9" s="25" t="n">
        <v>46112</v>
      </c>
      <c r="H9" s="25" t="n">
        <v>46360</v>
      </c>
      <c r="I9" s="26">
        <f>IF(E9="","",IFERROR(INDEX(PARAMETER!$C$9:$C$14,MATCH(E9,PARAMETER!$B$9:$B$14,0)),0))</f>
        <v/>
      </c>
      <c r="J9" s="27">
        <f>IF(OR(F9="",I9=""),"",F9*I9)</f>
        <v/>
      </c>
      <c r="K9" s="28">
        <f>IF(OR(E9="",G9=""),"",IF(OR(E9="Menang",E9="Kalah"),"",PARAMETER!$C$5-G9))</f>
        <v/>
      </c>
      <c r="L9" s="29">
        <f>IF(E9="","",IF(OR(E9="Menang",E9="Kalah"),E9,IF(H9&lt;PARAMETER!$C$5,"Terlambat","Berjalan")))</f>
        <v/>
      </c>
    </row>
    <row r="10">
      <c r="A10" s="23" t="inlineStr">
        <is>
          <t>D-005</t>
        </is>
      </c>
      <c r="B10" s="23" t="inlineStr">
        <is>
          <t>PT Cahaya Prima</t>
        </is>
      </c>
      <c r="C10" s="23" t="inlineStr">
        <is>
          <t>Rina Pratama</t>
        </is>
      </c>
      <c r="D10" s="23" t="inlineStr">
        <is>
          <t>Mitra</t>
        </is>
      </c>
      <c r="E10" s="23" t="inlineStr">
        <is>
          <t>Prospek</t>
        </is>
      </c>
      <c r="F10" s="24" t="n">
        <v>466000000</v>
      </c>
      <c r="G10" s="25" t="n">
        <v>46260</v>
      </c>
      <c r="H10" s="25" t="n">
        <v>46460</v>
      </c>
      <c r="I10" s="26">
        <f>IF(E10="","",IFERROR(INDEX(PARAMETER!$C$9:$C$14,MATCH(E10,PARAMETER!$B$9:$B$14,0)),0))</f>
        <v/>
      </c>
      <c r="J10" s="27">
        <f>IF(OR(F10="",I10=""),"",F10*I10)</f>
        <v/>
      </c>
      <c r="K10" s="28">
        <f>IF(OR(E10="",G10=""),"",IF(OR(E10="Menang",E10="Kalah"),"",PARAMETER!$C$5-G10))</f>
        <v/>
      </c>
      <c r="L10" s="29">
        <f>IF(E10="","",IF(OR(E10="Menang",E10="Kalah"),E10,IF(H10&lt;PARAMETER!$C$5,"Terlambat","Berjalan")))</f>
        <v/>
      </c>
    </row>
    <row r="11">
      <c r="A11" s="23" t="inlineStr">
        <is>
          <t>D-006</t>
        </is>
      </c>
      <c r="B11" s="23" t="inlineStr">
        <is>
          <t>UD Maju Terus</t>
        </is>
      </c>
      <c r="C11" s="23" t="inlineStr">
        <is>
          <t>Rina Pratama</t>
        </is>
      </c>
      <c r="D11" s="23" t="inlineStr">
        <is>
          <t>Media Sosial</t>
        </is>
      </c>
      <c r="E11" s="23" t="inlineStr">
        <is>
          <t>Menang</t>
        </is>
      </c>
      <c r="F11" s="24" t="n">
        <v>138000000</v>
      </c>
      <c r="G11" s="25" t="n">
        <v>46121</v>
      </c>
      <c r="H11" s="25" t="n">
        <v>46177</v>
      </c>
      <c r="I11" s="26">
        <f>IF(E11="","",IFERROR(INDEX(PARAMETER!$C$9:$C$14,MATCH(E11,PARAMETER!$B$9:$B$14,0)),0))</f>
        <v/>
      </c>
      <c r="J11" s="27">
        <f>IF(OR(F11="",I11=""),"",F11*I11)</f>
        <v/>
      </c>
      <c r="K11" s="28">
        <f>IF(OR(E11="",G11=""),"",IF(OR(E11="Menang",E11="Kalah"),"",PARAMETER!$C$5-G11))</f>
        <v/>
      </c>
      <c r="L11" s="29">
        <f>IF(E11="","",IF(OR(E11="Menang",E11="Kalah"),E11,IF(H11&lt;PARAMETER!$C$5,"Terlambat","Berjalan")))</f>
        <v/>
      </c>
    </row>
    <row r="12">
      <c r="A12" s="23" t="inlineStr">
        <is>
          <t>D-007</t>
        </is>
      </c>
      <c r="B12" s="23" t="inlineStr">
        <is>
          <t>PT Samudra Niaga</t>
        </is>
      </c>
      <c r="C12" s="23" t="inlineStr">
        <is>
          <t>Sekar Wulandari</t>
        </is>
      </c>
      <c r="D12" s="23" t="inlineStr">
        <is>
          <t>Referral</t>
        </is>
      </c>
      <c r="E12" s="23" t="inlineStr">
        <is>
          <t>Kalah</t>
        </is>
      </c>
      <c r="F12" s="24" t="n">
        <v>278000000</v>
      </c>
      <c r="G12" s="25" t="n">
        <v>46242</v>
      </c>
      <c r="H12" s="25" t="n">
        <v>46269</v>
      </c>
      <c r="I12" s="26">
        <f>IF(E12="","",IFERROR(INDEX(PARAMETER!$C$9:$C$14,MATCH(E12,PARAMETER!$B$9:$B$14,0)),0))</f>
        <v/>
      </c>
      <c r="J12" s="27">
        <f>IF(OR(F12="",I12=""),"",F12*I12)</f>
        <v/>
      </c>
      <c r="K12" s="28">
        <f>IF(OR(E12="",G12=""),"",IF(OR(E12="Menang",E12="Kalah"),"",PARAMETER!$C$5-G12))</f>
        <v/>
      </c>
      <c r="L12" s="29">
        <f>IF(E12="","",IF(OR(E12="Menang",E12="Kalah"),E12,IF(H12&lt;PARAMETER!$C$5,"Terlambat","Berjalan")))</f>
        <v/>
      </c>
    </row>
    <row r="13">
      <c r="A13" s="23" t="inlineStr">
        <is>
          <t>D-008</t>
        </is>
      </c>
      <c r="B13" s="23" t="inlineStr">
        <is>
          <t>PT Bumi Lestari</t>
        </is>
      </c>
      <c r="C13" s="23" t="inlineStr">
        <is>
          <t>Rina Pratama</t>
        </is>
      </c>
      <c r="D13" s="23" t="inlineStr">
        <is>
          <t>Media Sosial</t>
        </is>
      </c>
      <c r="E13" s="23" t="inlineStr">
        <is>
          <t>Menang</t>
        </is>
      </c>
      <c r="F13" s="24" t="n">
        <v>200000000</v>
      </c>
      <c r="G13" s="25" t="n">
        <v>46114</v>
      </c>
      <c r="H13" s="25" t="n">
        <v>46167</v>
      </c>
      <c r="I13" s="26">
        <f>IF(E13="","",IFERROR(INDEX(PARAMETER!$C$9:$C$14,MATCH(E13,PARAMETER!$B$9:$B$14,0)),0))</f>
        <v/>
      </c>
      <c r="J13" s="27">
        <f>IF(OR(F13="",I13=""),"",F13*I13)</f>
        <v/>
      </c>
      <c r="K13" s="28">
        <f>IF(OR(E13="",G13=""),"",IF(OR(E13="Menang",E13="Kalah"),"",PARAMETER!$C$5-G13))</f>
        <v/>
      </c>
      <c r="L13" s="29">
        <f>IF(E13="","",IF(OR(E13="Menang",E13="Kalah"),E13,IF(H13&lt;PARAMETER!$C$5,"Terlambat","Berjalan")))</f>
        <v/>
      </c>
    </row>
    <row r="14">
      <c r="A14" s="23" t="inlineStr">
        <is>
          <t>D-009</t>
        </is>
      </c>
      <c r="B14" s="23" t="inlineStr">
        <is>
          <t>PT Nusantara Jaya</t>
        </is>
      </c>
      <c r="C14" s="23" t="inlineStr">
        <is>
          <t>Rina Pratama</t>
        </is>
      </c>
      <c r="D14" s="23" t="inlineStr">
        <is>
          <t>Referral</t>
        </is>
      </c>
      <c r="E14" s="23" t="inlineStr">
        <is>
          <t>Proposal</t>
        </is>
      </c>
      <c r="F14" s="24" t="n">
        <v>45000000</v>
      </c>
      <c r="G14" s="25" t="n">
        <v>46123</v>
      </c>
      <c r="H14" s="25" t="n">
        <v>46406</v>
      </c>
      <c r="I14" s="26">
        <f>IF(E14="","",IFERROR(INDEX(PARAMETER!$C$9:$C$14,MATCH(E14,PARAMETER!$B$9:$B$14,0)),0))</f>
        <v/>
      </c>
      <c r="J14" s="27">
        <f>IF(OR(F14="",I14=""),"",F14*I14)</f>
        <v/>
      </c>
      <c r="K14" s="28">
        <f>IF(OR(E14="",G14=""),"",IF(OR(E14="Menang",E14="Kalah"),"",PARAMETER!$C$5-G14))</f>
        <v/>
      </c>
      <c r="L14" s="29">
        <f>IF(E14="","",IF(OR(E14="Menang",E14="Kalah"),E14,IF(H14&lt;PARAMETER!$C$5,"Terlambat","Berjalan")))</f>
        <v/>
      </c>
    </row>
    <row r="15">
      <c r="A15" s="23" t="inlineStr">
        <is>
          <t>D-010</t>
        </is>
      </c>
      <c r="B15" s="23" t="inlineStr">
        <is>
          <t>UD Sumber Rejeki</t>
        </is>
      </c>
      <c r="C15" s="23" t="inlineStr">
        <is>
          <t>Dimas Anggoro</t>
        </is>
      </c>
      <c r="D15" s="23" t="inlineStr">
        <is>
          <t>Media Sosial</t>
        </is>
      </c>
      <c r="E15" s="23" t="inlineStr">
        <is>
          <t>Proposal</t>
        </is>
      </c>
      <c r="F15" s="24" t="n">
        <v>134000000</v>
      </c>
      <c r="G15" s="25" t="n">
        <v>46301</v>
      </c>
      <c r="H15" s="25" t="n">
        <v>46418</v>
      </c>
      <c r="I15" s="26">
        <f>IF(E15="","",IFERROR(INDEX(PARAMETER!$C$9:$C$14,MATCH(E15,PARAMETER!$B$9:$B$14,0)),0))</f>
        <v/>
      </c>
      <c r="J15" s="27">
        <f>IF(OR(F15="",I15=""),"",F15*I15)</f>
        <v/>
      </c>
      <c r="K15" s="28">
        <f>IF(OR(E15="",G15=""),"",IF(OR(E15="Menang",E15="Kalah"),"",PARAMETER!$C$5-G15))</f>
        <v/>
      </c>
      <c r="L15" s="29">
        <f>IF(E15="","",IF(OR(E15="Menang",E15="Kalah"),E15,IF(H15&lt;PARAMETER!$C$5,"Terlambat","Berjalan")))</f>
        <v/>
      </c>
    </row>
    <row r="16">
      <c r="A16" s="23" t="inlineStr">
        <is>
          <t>D-011</t>
        </is>
      </c>
      <c r="B16" s="23" t="inlineStr">
        <is>
          <t>UD Sumber Rejeki</t>
        </is>
      </c>
      <c r="C16" s="23" t="inlineStr">
        <is>
          <t>Rina Pratama</t>
        </is>
      </c>
      <c r="D16" s="23" t="inlineStr">
        <is>
          <t>Pameran</t>
        </is>
      </c>
      <c r="E16" s="23" t="inlineStr">
        <is>
          <t>Kalah</t>
        </is>
      </c>
      <c r="F16" s="24" t="n">
        <v>226000000</v>
      </c>
      <c r="G16" s="25" t="n">
        <v>46135</v>
      </c>
      <c r="H16" s="25" t="n">
        <v>46199</v>
      </c>
      <c r="I16" s="26">
        <f>IF(E16="","",IFERROR(INDEX(PARAMETER!$C$9:$C$14,MATCH(E16,PARAMETER!$B$9:$B$14,0)),0))</f>
        <v/>
      </c>
      <c r="J16" s="27">
        <f>IF(OR(F16="",I16=""),"",F16*I16)</f>
        <v/>
      </c>
      <c r="K16" s="28">
        <f>IF(OR(E16="",G16=""),"",IF(OR(E16="Menang",E16="Kalah"),"",PARAMETER!$C$5-G16))</f>
        <v/>
      </c>
      <c r="L16" s="29">
        <f>IF(E16="","",IF(OR(E16="Menang",E16="Kalah"),E16,IF(H16&lt;PARAMETER!$C$5,"Terlambat","Berjalan")))</f>
        <v/>
      </c>
    </row>
    <row r="17">
      <c r="A17" s="23" t="inlineStr">
        <is>
          <t>D-012</t>
        </is>
      </c>
      <c r="B17" s="23" t="inlineStr">
        <is>
          <t>PT Nusantara Jaya</t>
        </is>
      </c>
      <c r="C17" s="23" t="inlineStr">
        <is>
          <t>Rina Pratama</t>
        </is>
      </c>
      <c r="D17" s="23" t="inlineStr">
        <is>
          <t>Cold Call</t>
        </is>
      </c>
      <c r="E17" s="23" t="inlineStr">
        <is>
          <t>Negosiasi</t>
        </is>
      </c>
      <c r="F17" s="24" t="n">
        <v>304000000</v>
      </c>
      <c r="G17" s="25" t="n">
        <v>46307</v>
      </c>
      <c r="H17" s="25" t="n">
        <v>46414</v>
      </c>
      <c r="I17" s="26">
        <f>IF(E17="","",IFERROR(INDEX(PARAMETER!$C$9:$C$14,MATCH(E17,PARAMETER!$B$9:$B$14,0)),0))</f>
        <v/>
      </c>
      <c r="J17" s="27">
        <f>IF(OR(F17="",I17=""),"",F17*I17)</f>
        <v/>
      </c>
      <c r="K17" s="28">
        <f>IF(OR(E17="",G17=""),"",IF(OR(E17="Menang",E17="Kalah"),"",PARAMETER!$C$5-G17))</f>
        <v/>
      </c>
      <c r="L17" s="29">
        <f>IF(E17="","",IF(OR(E17="Menang",E17="Kalah"),E17,IF(H17&lt;PARAMETER!$C$5,"Terlambat","Berjalan")))</f>
        <v/>
      </c>
    </row>
    <row r="18">
      <c r="A18" s="23" t="inlineStr">
        <is>
          <t>D-013</t>
        </is>
      </c>
      <c r="B18" s="23" t="inlineStr">
        <is>
          <t>PT Cahaya Prima</t>
        </is>
      </c>
      <c r="C18" s="23" t="inlineStr">
        <is>
          <t>Sekar Wulandari</t>
        </is>
      </c>
      <c r="D18" s="23" t="inlineStr">
        <is>
          <t>Cold Call</t>
        </is>
      </c>
      <c r="E18" s="23" t="inlineStr">
        <is>
          <t>Prospek</t>
        </is>
      </c>
      <c r="F18" s="24" t="n">
        <v>20000000</v>
      </c>
      <c r="G18" s="25" t="n">
        <v>46099</v>
      </c>
      <c r="H18" s="25" t="n">
        <v>46369</v>
      </c>
      <c r="I18" s="26">
        <f>IF(E18="","",IFERROR(INDEX(PARAMETER!$C$9:$C$14,MATCH(E18,PARAMETER!$B$9:$B$14,0)),0))</f>
        <v/>
      </c>
      <c r="J18" s="27">
        <f>IF(OR(F18="",I18=""),"",F18*I18)</f>
        <v/>
      </c>
      <c r="K18" s="28">
        <f>IF(OR(E18="",G18=""),"",IF(OR(E18="Menang",E18="Kalah"),"",PARAMETER!$C$5-G18))</f>
        <v/>
      </c>
      <c r="L18" s="29">
        <f>IF(E18="","",IF(OR(E18="Menang",E18="Kalah"),E18,IF(H18&lt;PARAMETER!$C$5,"Terlambat","Berjalan")))</f>
        <v/>
      </c>
    </row>
    <row r="19">
      <c r="A19" s="23" t="inlineStr">
        <is>
          <t>D-014</t>
        </is>
      </c>
      <c r="B19" s="23" t="inlineStr">
        <is>
          <t>PT Bumi Lestari</t>
        </is>
      </c>
      <c r="C19" s="23" t="inlineStr">
        <is>
          <t>Dimas Anggoro</t>
        </is>
      </c>
      <c r="D19" s="23" t="inlineStr">
        <is>
          <t>Website</t>
        </is>
      </c>
      <c r="E19" s="23" t="inlineStr">
        <is>
          <t>Prospek</t>
        </is>
      </c>
      <c r="F19" s="24" t="n">
        <v>230000000</v>
      </c>
      <c r="G19" s="25" t="n">
        <v>46212</v>
      </c>
      <c r="H19" s="25" t="n">
        <v>46342</v>
      </c>
      <c r="I19" s="26">
        <f>IF(E19="","",IFERROR(INDEX(PARAMETER!$C$9:$C$14,MATCH(E19,PARAMETER!$B$9:$B$14,0)),0))</f>
        <v/>
      </c>
      <c r="J19" s="27">
        <f>IF(OR(F19="",I19=""),"",F19*I19)</f>
        <v/>
      </c>
      <c r="K19" s="28">
        <f>IF(OR(E19="",G19=""),"",IF(OR(E19="Menang",E19="Kalah"),"",PARAMETER!$C$5-G19))</f>
        <v/>
      </c>
      <c r="L19" s="29">
        <f>IF(E19="","",IF(OR(E19="Menang",E19="Kalah"),E19,IF(H19&lt;PARAMETER!$C$5,"Terlambat","Berjalan")))</f>
        <v/>
      </c>
    </row>
    <row r="20">
      <c r="A20" s="23" t="inlineStr">
        <is>
          <t>D-015</t>
        </is>
      </c>
      <c r="B20" s="23" t="inlineStr">
        <is>
          <t>PT Bumi Lestari</t>
        </is>
      </c>
      <c r="C20" s="23" t="inlineStr">
        <is>
          <t>Sekar Wulandari</t>
        </is>
      </c>
      <c r="D20" s="23" t="inlineStr">
        <is>
          <t>Media Sosial</t>
        </is>
      </c>
      <c r="E20" s="23" t="inlineStr">
        <is>
          <t>Menang</t>
        </is>
      </c>
      <c r="F20" s="24" t="n">
        <v>36000000</v>
      </c>
      <c r="G20" s="25" t="n">
        <v>46289</v>
      </c>
      <c r="H20" s="25" t="n">
        <v>46312</v>
      </c>
      <c r="I20" s="26">
        <f>IF(E20="","",IFERROR(INDEX(PARAMETER!$C$9:$C$14,MATCH(E20,PARAMETER!$B$9:$B$14,0)),0))</f>
        <v/>
      </c>
      <c r="J20" s="27">
        <f>IF(OR(F20="",I20=""),"",F20*I20)</f>
        <v/>
      </c>
      <c r="K20" s="28">
        <f>IF(OR(E20="",G20=""),"",IF(OR(E20="Menang",E20="Kalah"),"",PARAMETER!$C$5-G20))</f>
        <v/>
      </c>
      <c r="L20" s="29">
        <f>IF(E20="","",IF(OR(E20="Menang",E20="Kalah"),E20,IF(H20&lt;PARAMETER!$C$5,"Terlambat","Berjalan")))</f>
        <v/>
      </c>
    </row>
    <row r="21">
      <c r="A21" s="23" t="inlineStr">
        <is>
          <t>D-016</t>
        </is>
      </c>
      <c r="B21" s="23" t="inlineStr">
        <is>
          <t>UD Sumber Rejeki</t>
        </is>
      </c>
      <c r="C21" s="23" t="inlineStr">
        <is>
          <t>Dimas Anggoro</t>
        </is>
      </c>
      <c r="D21" s="23" t="inlineStr">
        <is>
          <t>Media Sosial</t>
        </is>
      </c>
      <c r="E21" s="23" t="inlineStr">
        <is>
          <t>Menang</t>
        </is>
      </c>
      <c r="F21" s="24" t="n">
        <v>184000000</v>
      </c>
      <c r="G21" s="25" t="n">
        <v>46164</v>
      </c>
      <c r="H21" s="25" t="n">
        <v>46222</v>
      </c>
      <c r="I21" s="26">
        <f>IF(E21="","",IFERROR(INDEX(PARAMETER!$C$9:$C$14,MATCH(E21,PARAMETER!$B$9:$B$14,0)),0))</f>
        <v/>
      </c>
      <c r="J21" s="27">
        <f>IF(OR(F21="",I21=""),"",F21*I21)</f>
        <v/>
      </c>
      <c r="K21" s="28">
        <f>IF(OR(E21="",G21=""),"",IF(OR(E21="Menang",E21="Kalah"),"",PARAMETER!$C$5-G21))</f>
        <v/>
      </c>
      <c r="L21" s="29">
        <f>IF(E21="","",IF(OR(E21="Menang",E21="Kalah"),E21,IF(H21&lt;PARAMETER!$C$5,"Terlambat","Berjalan")))</f>
        <v/>
      </c>
    </row>
    <row r="22">
      <c r="A22" s="23" t="inlineStr">
        <is>
          <t>D-017</t>
        </is>
      </c>
      <c r="B22" s="23" t="inlineStr">
        <is>
          <t>PT Nusantara Jaya</t>
        </is>
      </c>
      <c r="C22" s="23" t="inlineStr">
        <is>
          <t>Sekar Wulandari</t>
        </is>
      </c>
      <c r="D22" s="23" t="inlineStr">
        <is>
          <t>Cold Call</t>
        </is>
      </c>
      <c r="E22" s="23" t="inlineStr">
        <is>
          <t>Proposal</t>
        </is>
      </c>
      <c r="F22" s="24" t="n">
        <v>81000000</v>
      </c>
      <c r="G22" s="25" t="n">
        <v>46173</v>
      </c>
      <c r="H22" s="25" t="n">
        <v>46356</v>
      </c>
      <c r="I22" s="26">
        <f>IF(E22="","",IFERROR(INDEX(PARAMETER!$C$9:$C$14,MATCH(E22,PARAMETER!$B$9:$B$14,0)),0))</f>
        <v/>
      </c>
      <c r="J22" s="27">
        <f>IF(OR(F22="",I22=""),"",F22*I22)</f>
        <v/>
      </c>
      <c r="K22" s="28">
        <f>IF(OR(E22="",G22=""),"",IF(OR(E22="Menang",E22="Kalah"),"",PARAMETER!$C$5-G22))</f>
        <v/>
      </c>
      <c r="L22" s="29">
        <f>IF(E22="","",IF(OR(E22="Menang",E22="Kalah"),E22,IF(H22&lt;PARAMETER!$C$5,"Terlambat","Berjalan")))</f>
        <v/>
      </c>
    </row>
    <row r="23">
      <c r="A23" s="23" t="inlineStr">
        <is>
          <t>D-018</t>
        </is>
      </c>
      <c r="B23" s="23" t="inlineStr">
        <is>
          <t>CV Tunas Harapan</t>
        </is>
      </c>
      <c r="C23" s="23" t="inlineStr">
        <is>
          <t>Sekar Wulandari</t>
        </is>
      </c>
      <c r="D23" s="23" t="inlineStr">
        <is>
          <t>Referral</t>
        </is>
      </c>
      <c r="E23" s="23" t="inlineStr">
        <is>
          <t>Prospek</t>
        </is>
      </c>
      <c r="F23" s="24" t="n">
        <v>34000000</v>
      </c>
      <c r="G23" s="25" t="n">
        <v>46307</v>
      </c>
      <c r="H23" s="25" t="n">
        <v>46335</v>
      </c>
      <c r="I23" s="26">
        <f>IF(E23="","",IFERROR(INDEX(PARAMETER!$C$9:$C$14,MATCH(E23,PARAMETER!$B$9:$B$14,0)),0))</f>
        <v/>
      </c>
      <c r="J23" s="27">
        <f>IF(OR(F23="",I23=""),"",F23*I23)</f>
        <v/>
      </c>
      <c r="K23" s="28">
        <f>IF(OR(E23="",G23=""),"",IF(OR(E23="Menang",E23="Kalah"),"",PARAMETER!$C$5-G23))</f>
        <v/>
      </c>
      <c r="L23" s="29">
        <f>IF(E23="","",IF(OR(E23="Menang",E23="Kalah"),E23,IF(H23&lt;PARAMETER!$C$5,"Terlambat","Berjalan")))</f>
        <v/>
      </c>
    </row>
    <row r="24">
      <c r="A24" s="23" t="inlineStr">
        <is>
          <t>D-019</t>
        </is>
      </c>
      <c r="B24" s="23" t="inlineStr">
        <is>
          <t>UD Maju Terus</t>
        </is>
      </c>
      <c r="C24" s="23" t="inlineStr">
        <is>
          <t>Dimas Anggoro</t>
        </is>
      </c>
      <c r="D24" s="23" t="inlineStr">
        <is>
          <t>Media Sosial</t>
        </is>
      </c>
      <c r="E24" s="23" t="inlineStr">
        <is>
          <t>Menang</t>
        </is>
      </c>
      <c r="F24" s="24" t="n">
        <v>30000000</v>
      </c>
      <c r="G24" s="25" t="n">
        <v>46269</v>
      </c>
      <c r="H24" s="25" t="n">
        <v>46307</v>
      </c>
      <c r="I24" s="26">
        <f>IF(E24="","",IFERROR(INDEX(PARAMETER!$C$9:$C$14,MATCH(E24,PARAMETER!$B$9:$B$14,0)),0))</f>
        <v/>
      </c>
      <c r="J24" s="27">
        <f>IF(OR(F24="",I24=""),"",F24*I24)</f>
        <v/>
      </c>
      <c r="K24" s="28">
        <f>IF(OR(E24="",G24=""),"",IF(OR(E24="Menang",E24="Kalah"),"",PARAMETER!$C$5-G24))</f>
        <v/>
      </c>
      <c r="L24" s="29">
        <f>IF(E24="","",IF(OR(E24="Menang",E24="Kalah"),E24,IF(H24&lt;PARAMETER!$C$5,"Terlambat","Berjalan")))</f>
        <v/>
      </c>
    </row>
    <row r="25">
      <c r="A25" s="23" t="inlineStr">
        <is>
          <t>D-020</t>
        </is>
      </c>
      <c r="B25" s="23" t="inlineStr">
        <is>
          <t>CV Berkah Sentosa</t>
        </is>
      </c>
      <c r="C25" s="23" t="inlineStr">
        <is>
          <t>Rina Pratama</t>
        </is>
      </c>
      <c r="D25" s="23" t="inlineStr">
        <is>
          <t>Media Sosial</t>
        </is>
      </c>
      <c r="E25" s="23" t="inlineStr">
        <is>
          <t>Menang</t>
        </is>
      </c>
      <c r="F25" s="24" t="n">
        <v>165000000</v>
      </c>
      <c r="G25" s="25" t="n">
        <v>46115</v>
      </c>
      <c r="H25" s="25" t="n">
        <v>46151</v>
      </c>
      <c r="I25" s="26">
        <f>IF(E25="","",IFERROR(INDEX(PARAMETER!$C$9:$C$14,MATCH(E25,PARAMETER!$B$9:$B$14,0)),0))</f>
        <v/>
      </c>
      <c r="J25" s="27">
        <f>IF(OR(F25="",I25=""),"",F25*I25)</f>
        <v/>
      </c>
      <c r="K25" s="28">
        <f>IF(OR(E25="",G25=""),"",IF(OR(E25="Menang",E25="Kalah"),"",PARAMETER!$C$5-G25))</f>
        <v/>
      </c>
      <c r="L25" s="29">
        <f>IF(E25="","",IF(OR(E25="Menang",E25="Kalah"),E25,IF(H25&lt;PARAMETER!$C$5,"Terlambat","Berjalan")))</f>
        <v/>
      </c>
    </row>
    <row r="26">
      <c r="A26" s="23" t="inlineStr">
        <is>
          <t>D-021</t>
        </is>
      </c>
      <c r="B26" s="23" t="inlineStr">
        <is>
          <t>CV Citra Warna</t>
        </is>
      </c>
      <c r="C26" s="23" t="inlineStr">
        <is>
          <t>Sekar Wulandari</t>
        </is>
      </c>
      <c r="D26" s="23" t="inlineStr">
        <is>
          <t>Media Sosial</t>
        </is>
      </c>
      <c r="E26" s="23" t="inlineStr">
        <is>
          <t>Proposal</t>
        </is>
      </c>
      <c r="F26" s="24" t="n">
        <v>101000000</v>
      </c>
      <c r="G26" s="25" t="n">
        <v>46262</v>
      </c>
      <c r="H26" s="25" t="n">
        <v>46430</v>
      </c>
      <c r="I26" s="26">
        <f>IF(E26="","",IFERROR(INDEX(PARAMETER!$C$9:$C$14,MATCH(E26,PARAMETER!$B$9:$B$14,0)),0))</f>
        <v/>
      </c>
      <c r="J26" s="27">
        <f>IF(OR(F26="",I26=""),"",F26*I26)</f>
        <v/>
      </c>
      <c r="K26" s="28">
        <f>IF(OR(E26="",G26=""),"",IF(OR(E26="Menang",E26="Kalah"),"",PARAMETER!$C$5-G26))</f>
        <v/>
      </c>
      <c r="L26" s="29">
        <f>IF(E26="","",IF(OR(E26="Menang",E26="Kalah"),E26,IF(H26&lt;PARAMETER!$C$5,"Terlambat","Berjalan")))</f>
        <v/>
      </c>
    </row>
    <row r="27">
      <c r="A27" s="23" t="inlineStr">
        <is>
          <t>D-022</t>
        </is>
      </c>
      <c r="B27" s="23" t="inlineStr">
        <is>
          <t>CV Berkah Sentosa</t>
        </is>
      </c>
      <c r="C27" s="23" t="inlineStr">
        <is>
          <t>Rina Pratama</t>
        </is>
      </c>
      <c r="D27" s="23" t="inlineStr">
        <is>
          <t>Pameran</t>
        </is>
      </c>
      <c r="E27" s="23" t="inlineStr">
        <is>
          <t>Proposal</t>
        </is>
      </c>
      <c r="F27" s="24" t="n">
        <v>214000000</v>
      </c>
      <c r="G27" s="25" t="n">
        <v>46246</v>
      </c>
      <c r="H27" s="25" t="n">
        <v>46451</v>
      </c>
      <c r="I27" s="26">
        <f>IF(E27="","",IFERROR(INDEX(PARAMETER!$C$9:$C$14,MATCH(E27,PARAMETER!$B$9:$B$14,0)),0))</f>
        <v/>
      </c>
      <c r="J27" s="27">
        <f>IF(OR(F27="",I27=""),"",F27*I27)</f>
        <v/>
      </c>
      <c r="K27" s="28">
        <f>IF(OR(E27="",G27=""),"",IF(OR(E27="Menang",E27="Kalah"),"",PARAMETER!$C$5-G27))</f>
        <v/>
      </c>
      <c r="L27" s="29">
        <f>IF(E27="","",IF(OR(E27="Menang",E27="Kalah"),E27,IF(H27&lt;PARAMETER!$C$5,"Terlambat","Berjalan")))</f>
        <v/>
      </c>
    </row>
    <row r="28">
      <c r="A28" s="23" t="inlineStr">
        <is>
          <t>D-023</t>
        </is>
      </c>
      <c r="B28" s="23" t="inlineStr">
        <is>
          <t>CV Mitra Abadi</t>
        </is>
      </c>
      <c r="C28" s="23" t="inlineStr">
        <is>
          <t>Sekar Wulandari</t>
        </is>
      </c>
      <c r="D28" s="23" t="inlineStr">
        <is>
          <t>Referral</t>
        </is>
      </c>
      <c r="E28" s="23" t="inlineStr">
        <is>
          <t>Menang</t>
        </is>
      </c>
      <c r="F28" s="24" t="n">
        <v>39000000</v>
      </c>
      <c r="G28" s="25" t="n">
        <v>46274</v>
      </c>
      <c r="H28" s="25" t="n">
        <v>46307</v>
      </c>
      <c r="I28" s="26">
        <f>IF(E28="","",IFERROR(INDEX(PARAMETER!$C$9:$C$14,MATCH(E28,PARAMETER!$B$9:$B$14,0)),0))</f>
        <v/>
      </c>
      <c r="J28" s="27">
        <f>IF(OR(F28="",I28=""),"",F28*I28)</f>
        <v/>
      </c>
      <c r="K28" s="28">
        <f>IF(OR(E28="",G28=""),"",IF(OR(E28="Menang",E28="Kalah"),"",PARAMETER!$C$5-G28))</f>
        <v/>
      </c>
      <c r="L28" s="29">
        <f>IF(E28="","",IF(OR(E28="Menang",E28="Kalah"),E28,IF(H28&lt;PARAMETER!$C$5,"Terlambat","Berjalan")))</f>
        <v/>
      </c>
    </row>
    <row r="29">
      <c r="A29" s="23" t="inlineStr">
        <is>
          <t>D-024</t>
        </is>
      </c>
      <c r="B29" s="23" t="inlineStr">
        <is>
          <t>PT Sinar Baru</t>
        </is>
      </c>
      <c r="C29" s="23" t="inlineStr">
        <is>
          <t>Sekar Wulandari</t>
        </is>
      </c>
      <c r="D29" s="23" t="inlineStr">
        <is>
          <t>Pameran</t>
        </is>
      </c>
      <c r="E29" s="23" t="inlineStr">
        <is>
          <t>Menang</t>
        </is>
      </c>
      <c r="F29" s="24" t="n">
        <v>27000000</v>
      </c>
      <c r="G29" s="25" t="n">
        <v>46161</v>
      </c>
      <c r="H29" s="25" t="n">
        <v>46198</v>
      </c>
      <c r="I29" s="26">
        <f>IF(E29="","",IFERROR(INDEX(PARAMETER!$C$9:$C$14,MATCH(E29,PARAMETER!$B$9:$B$14,0)),0))</f>
        <v/>
      </c>
      <c r="J29" s="27">
        <f>IF(OR(F29="",I29=""),"",F29*I29)</f>
        <v/>
      </c>
      <c r="K29" s="28">
        <f>IF(OR(E29="",G29=""),"",IF(OR(E29="Menang",E29="Kalah"),"",PARAMETER!$C$5-G29))</f>
        <v/>
      </c>
      <c r="L29" s="29">
        <f>IF(E29="","",IF(OR(E29="Menang",E29="Kalah"),E29,IF(H29&lt;PARAMETER!$C$5,"Terlambat","Berjalan")))</f>
        <v/>
      </c>
    </row>
    <row r="30">
      <c r="A30" s="23" t="inlineStr">
        <is>
          <t>D-025</t>
        </is>
      </c>
      <c r="B30" s="23" t="inlineStr">
        <is>
          <t>PT Cahaya Prima</t>
        </is>
      </c>
      <c r="C30" s="23" t="inlineStr">
        <is>
          <t>Dimas Anggoro</t>
        </is>
      </c>
      <c r="D30" s="23" t="inlineStr">
        <is>
          <t>Cold Call</t>
        </is>
      </c>
      <c r="E30" s="23" t="inlineStr">
        <is>
          <t>Prospek</t>
        </is>
      </c>
      <c r="F30" s="24" t="n">
        <v>158000000</v>
      </c>
      <c r="G30" s="25" t="n">
        <v>46179</v>
      </c>
      <c r="H30" s="25" t="n">
        <v>46384</v>
      </c>
      <c r="I30" s="26">
        <f>IF(E30="","",IFERROR(INDEX(PARAMETER!$C$9:$C$14,MATCH(E30,PARAMETER!$B$9:$B$14,0)),0))</f>
        <v/>
      </c>
      <c r="J30" s="27">
        <f>IF(OR(F30="",I30=""),"",F30*I30)</f>
        <v/>
      </c>
      <c r="K30" s="28">
        <f>IF(OR(E30="",G30=""),"",IF(OR(E30="Menang",E30="Kalah"),"",PARAMETER!$C$5-G30))</f>
        <v/>
      </c>
      <c r="L30" s="29">
        <f>IF(E30="","",IF(OR(E30="Menang",E30="Kalah"),E30,IF(H30&lt;PARAMETER!$C$5,"Terlambat","Berjalan")))</f>
        <v/>
      </c>
    </row>
    <row r="31">
      <c r="A31" s="23" t="inlineStr">
        <is>
          <t>D-026</t>
        </is>
      </c>
      <c r="B31" s="23" t="inlineStr">
        <is>
          <t>CV Citra Warna</t>
        </is>
      </c>
      <c r="C31" s="23" t="inlineStr">
        <is>
          <t>Sekar Wulandari</t>
        </is>
      </c>
      <c r="D31" s="23" t="inlineStr">
        <is>
          <t>Referral</t>
        </is>
      </c>
      <c r="E31" s="23" t="inlineStr">
        <is>
          <t>Menang</t>
        </is>
      </c>
      <c r="F31" s="24" t="n">
        <v>16000000</v>
      </c>
      <c r="G31" s="25" t="n">
        <v>46123</v>
      </c>
      <c r="H31" s="25" t="n">
        <v>46174</v>
      </c>
      <c r="I31" s="26">
        <f>IF(E31="","",IFERROR(INDEX(PARAMETER!$C$9:$C$14,MATCH(E31,PARAMETER!$B$9:$B$14,0)),0))</f>
        <v/>
      </c>
      <c r="J31" s="27">
        <f>IF(OR(F31="",I31=""),"",F31*I31)</f>
        <v/>
      </c>
      <c r="K31" s="28">
        <f>IF(OR(E31="",G31=""),"",IF(OR(E31="Menang",E31="Kalah"),"",PARAMETER!$C$5-G31))</f>
        <v/>
      </c>
      <c r="L31" s="29">
        <f>IF(E31="","",IF(OR(E31="Menang",E31="Kalah"),E31,IF(H31&lt;PARAMETER!$C$5,"Terlambat","Berjalan")))</f>
        <v/>
      </c>
    </row>
    <row r="32">
      <c r="A32" s="23" t="inlineStr">
        <is>
          <t>D-027</t>
        </is>
      </c>
      <c r="B32" s="23" t="inlineStr">
        <is>
          <t>CV Mitra Abadi</t>
        </is>
      </c>
      <c r="C32" s="23" t="inlineStr">
        <is>
          <t>Sekar Wulandari</t>
        </is>
      </c>
      <c r="D32" s="23" t="inlineStr">
        <is>
          <t>Pameran</t>
        </is>
      </c>
      <c r="E32" s="23" t="inlineStr">
        <is>
          <t>Proposal</t>
        </is>
      </c>
      <c r="F32" s="24" t="n">
        <v>18000000</v>
      </c>
      <c r="G32" s="25" t="n">
        <v>46283</v>
      </c>
      <c r="H32" s="25" t="n">
        <v>46340</v>
      </c>
      <c r="I32" s="26">
        <f>IF(E32="","",IFERROR(INDEX(PARAMETER!$C$9:$C$14,MATCH(E32,PARAMETER!$B$9:$B$14,0)),0))</f>
        <v/>
      </c>
      <c r="J32" s="27">
        <f>IF(OR(F32="",I32=""),"",F32*I32)</f>
        <v/>
      </c>
      <c r="K32" s="28">
        <f>IF(OR(E32="",G32=""),"",IF(OR(E32="Menang",E32="Kalah"),"",PARAMETER!$C$5-G32))</f>
        <v/>
      </c>
      <c r="L32" s="29">
        <f>IF(E32="","",IF(OR(E32="Menang",E32="Kalah"),E32,IF(H32&lt;PARAMETER!$C$5,"Terlambat","Berjalan")))</f>
        <v/>
      </c>
    </row>
    <row r="33">
      <c r="A33" s="23" t="inlineStr">
        <is>
          <t>D-028</t>
        </is>
      </c>
      <c r="B33" s="23" t="inlineStr">
        <is>
          <t>CV Mitra Abadi</t>
        </is>
      </c>
      <c r="C33" s="23" t="inlineStr">
        <is>
          <t>Sekar Wulandari</t>
        </is>
      </c>
      <c r="D33" s="23" t="inlineStr">
        <is>
          <t>Mitra</t>
        </is>
      </c>
      <c r="E33" s="23" t="inlineStr">
        <is>
          <t>Menang</t>
        </is>
      </c>
      <c r="F33" s="24" t="n">
        <v>42000000</v>
      </c>
      <c r="G33" s="25" t="n">
        <v>46246</v>
      </c>
      <c r="H33" s="25" t="n">
        <v>46270</v>
      </c>
      <c r="I33" s="26">
        <f>IF(E33="","",IFERROR(INDEX(PARAMETER!$C$9:$C$14,MATCH(E33,PARAMETER!$B$9:$B$14,0)),0))</f>
        <v/>
      </c>
      <c r="J33" s="27">
        <f>IF(OR(F33="",I33=""),"",F33*I33)</f>
        <v/>
      </c>
      <c r="K33" s="28">
        <f>IF(OR(E33="",G33=""),"",IF(OR(E33="Menang",E33="Kalah"),"",PARAMETER!$C$5-G33))</f>
        <v/>
      </c>
      <c r="L33" s="29">
        <f>IF(E33="","",IF(OR(E33="Menang",E33="Kalah"),E33,IF(H33&lt;PARAMETER!$C$5,"Terlambat","Berjalan")))</f>
        <v/>
      </c>
    </row>
    <row r="34">
      <c r="A34" s="23" t="inlineStr">
        <is>
          <t>D-029</t>
        </is>
      </c>
      <c r="B34" s="23" t="inlineStr">
        <is>
          <t>CV Tunas Harapan</t>
        </is>
      </c>
      <c r="C34" s="23" t="inlineStr">
        <is>
          <t>Sekar Wulandari</t>
        </is>
      </c>
      <c r="D34" s="23" t="inlineStr">
        <is>
          <t>Media Sosial</t>
        </is>
      </c>
      <c r="E34" s="23" t="inlineStr">
        <is>
          <t>Proposal</t>
        </is>
      </c>
      <c r="F34" s="24" t="n">
        <v>23000000</v>
      </c>
      <c r="G34" s="25" t="n">
        <v>46129</v>
      </c>
      <c r="H34" s="25" t="n">
        <v>46431</v>
      </c>
      <c r="I34" s="26">
        <f>IF(E34="","",IFERROR(INDEX(PARAMETER!$C$9:$C$14,MATCH(E34,PARAMETER!$B$9:$B$14,0)),0))</f>
        <v/>
      </c>
      <c r="J34" s="27">
        <f>IF(OR(F34="",I34=""),"",F34*I34)</f>
        <v/>
      </c>
      <c r="K34" s="28">
        <f>IF(OR(E34="",G34=""),"",IF(OR(E34="Menang",E34="Kalah"),"",PARAMETER!$C$5-G34))</f>
        <v/>
      </c>
      <c r="L34" s="29">
        <f>IF(E34="","",IF(OR(E34="Menang",E34="Kalah"),E34,IF(H34&lt;PARAMETER!$C$5,"Terlambat","Berjalan")))</f>
        <v/>
      </c>
    </row>
    <row r="35">
      <c r="A35" s="23" t="inlineStr">
        <is>
          <t>D-030</t>
        </is>
      </c>
      <c r="B35" s="23" t="inlineStr">
        <is>
          <t>PT Mega Pangan</t>
        </is>
      </c>
      <c r="C35" s="23" t="inlineStr">
        <is>
          <t>Sekar Wulandari</t>
        </is>
      </c>
      <c r="D35" s="23" t="inlineStr">
        <is>
          <t>Cold Call</t>
        </is>
      </c>
      <c r="E35" s="23" t="inlineStr">
        <is>
          <t>Menang</t>
        </is>
      </c>
      <c r="F35" s="24" t="n">
        <v>122000000</v>
      </c>
      <c r="G35" s="25" t="n">
        <v>46229</v>
      </c>
      <c r="H35" s="25" t="n">
        <v>46280</v>
      </c>
      <c r="I35" s="26">
        <f>IF(E35="","",IFERROR(INDEX(PARAMETER!$C$9:$C$14,MATCH(E35,PARAMETER!$B$9:$B$14,0)),0))</f>
        <v/>
      </c>
      <c r="J35" s="27">
        <f>IF(OR(F35="",I35=""),"",F35*I35)</f>
        <v/>
      </c>
      <c r="K35" s="28">
        <f>IF(OR(E35="",G35=""),"",IF(OR(E35="Menang",E35="Kalah"),"",PARAMETER!$C$5-G35))</f>
        <v/>
      </c>
      <c r="L35" s="29">
        <f>IF(E35="","",IF(OR(E35="Menang",E35="Kalah"),E35,IF(H35&lt;PARAMETER!$C$5,"Terlambat","Berjalan")))</f>
        <v/>
      </c>
    </row>
    <row r="36">
      <c r="A36" s="23" t="inlineStr">
        <is>
          <t>D-031</t>
        </is>
      </c>
      <c r="B36" s="23" t="inlineStr">
        <is>
          <t>CV Berkah Sentosa</t>
        </is>
      </c>
      <c r="C36" s="23" t="inlineStr">
        <is>
          <t>Sekar Wulandari</t>
        </is>
      </c>
      <c r="D36" s="23" t="inlineStr">
        <is>
          <t>Mitra</t>
        </is>
      </c>
      <c r="E36" s="23" t="inlineStr">
        <is>
          <t>Menang</t>
        </is>
      </c>
      <c r="F36" s="24" t="n">
        <v>59000000</v>
      </c>
      <c r="G36" s="25" t="n">
        <v>46169</v>
      </c>
      <c r="H36" s="25" t="n">
        <v>46202</v>
      </c>
      <c r="I36" s="26">
        <f>IF(E36="","",IFERROR(INDEX(PARAMETER!$C$9:$C$14,MATCH(E36,PARAMETER!$B$9:$B$14,0)),0))</f>
        <v/>
      </c>
      <c r="J36" s="27">
        <f>IF(OR(F36="",I36=""),"",F36*I36)</f>
        <v/>
      </c>
      <c r="K36" s="28">
        <f>IF(OR(E36="",G36=""),"",IF(OR(E36="Menang",E36="Kalah"),"",PARAMETER!$C$5-G36))</f>
        <v/>
      </c>
      <c r="L36" s="29">
        <f>IF(E36="","",IF(OR(E36="Menang",E36="Kalah"),E36,IF(H36&lt;PARAMETER!$C$5,"Terlambat","Berjalan")))</f>
        <v/>
      </c>
    </row>
    <row r="37">
      <c r="A37" s="23" t="inlineStr">
        <is>
          <t>D-032</t>
        </is>
      </c>
      <c r="B37" s="23" t="inlineStr">
        <is>
          <t>PT Samudra Niaga</t>
        </is>
      </c>
      <c r="C37" s="23" t="inlineStr">
        <is>
          <t>Sekar Wulandari</t>
        </is>
      </c>
      <c r="D37" s="23" t="inlineStr">
        <is>
          <t>Website</t>
        </is>
      </c>
      <c r="E37" s="23" t="inlineStr">
        <is>
          <t>Proposal</t>
        </is>
      </c>
      <c r="F37" s="24" t="n">
        <v>165000000</v>
      </c>
      <c r="G37" s="25" t="n">
        <v>46147</v>
      </c>
      <c r="H37" s="25" t="n">
        <v>46436</v>
      </c>
      <c r="I37" s="26">
        <f>IF(E37="","",IFERROR(INDEX(PARAMETER!$C$9:$C$14,MATCH(E37,PARAMETER!$B$9:$B$14,0)),0))</f>
        <v/>
      </c>
      <c r="J37" s="27">
        <f>IF(OR(F37="",I37=""),"",F37*I37)</f>
        <v/>
      </c>
      <c r="K37" s="28">
        <f>IF(OR(E37="",G37=""),"",IF(OR(E37="Menang",E37="Kalah"),"",PARAMETER!$C$5-G37))</f>
        <v/>
      </c>
      <c r="L37" s="29">
        <f>IF(E37="","",IF(OR(E37="Menang",E37="Kalah"),E37,IF(H37&lt;PARAMETER!$C$5,"Terlambat","Berjalan")))</f>
        <v/>
      </c>
    </row>
    <row r="38">
      <c r="A38" s="23" t="inlineStr">
        <is>
          <t>D-033</t>
        </is>
      </c>
      <c r="B38" s="23" t="inlineStr">
        <is>
          <t>PT Karya Mandiri</t>
        </is>
      </c>
      <c r="C38" s="23" t="inlineStr">
        <is>
          <t>Dimas Anggoro</t>
        </is>
      </c>
      <c r="D38" s="23" t="inlineStr">
        <is>
          <t>Media Sosial</t>
        </is>
      </c>
      <c r="E38" s="23" t="inlineStr">
        <is>
          <t>Kualifikasi</t>
        </is>
      </c>
      <c r="F38" s="24" t="n">
        <v>71000000</v>
      </c>
      <c r="G38" s="25" t="n">
        <v>46108</v>
      </c>
      <c r="H38" s="25" t="n">
        <v>46396</v>
      </c>
      <c r="I38" s="26">
        <f>IF(E38="","",IFERROR(INDEX(PARAMETER!$C$9:$C$14,MATCH(E38,PARAMETER!$B$9:$B$14,0)),0))</f>
        <v/>
      </c>
      <c r="J38" s="27">
        <f>IF(OR(F38="",I38=""),"",F38*I38)</f>
        <v/>
      </c>
      <c r="K38" s="28">
        <f>IF(OR(E38="",G38=""),"",IF(OR(E38="Menang",E38="Kalah"),"",PARAMETER!$C$5-G38))</f>
        <v/>
      </c>
      <c r="L38" s="29">
        <f>IF(E38="","",IF(OR(E38="Menang",E38="Kalah"),E38,IF(H38&lt;PARAMETER!$C$5,"Terlambat","Berjalan")))</f>
        <v/>
      </c>
    </row>
    <row r="39">
      <c r="A39" s="23" t="inlineStr">
        <is>
          <t>D-034</t>
        </is>
      </c>
      <c r="B39" s="23" t="inlineStr">
        <is>
          <t>PT Cahaya Prima</t>
        </is>
      </c>
      <c r="C39" s="23" t="inlineStr">
        <is>
          <t>Dimas Anggoro</t>
        </is>
      </c>
      <c r="D39" s="23" t="inlineStr">
        <is>
          <t>Pameran</t>
        </is>
      </c>
      <c r="E39" s="23" t="inlineStr">
        <is>
          <t>Kalah</t>
        </is>
      </c>
      <c r="F39" s="24" t="n">
        <v>87000000</v>
      </c>
      <c r="G39" s="25" t="n">
        <v>46237</v>
      </c>
      <c r="H39" s="25" t="n">
        <v>46287</v>
      </c>
      <c r="I39" s="26">
        <f>IF(E39="","",IFERROR(INDEX(PARAMETER!$C$9:$C$14,MATCH(E39,PARAMETER!$B$9:$B$14,0)),0))</f>
        <v/>
      </c>
      <c r="J39" s="27">
        <f>IF(OR(F39="",I39=""),"",F39*I39)</f>
        <v/>
      </c>
      <c r="K39" s="28">
        <f>IF(OR(E39="",G39=""),"",IF(OR(E39="Menang",E39="Kalah"),"",PARAMETER!$C$5-G39))</f>
        <v/>
      </c>
      <c r="L39" s="29">
        <f>IF(E39="","",IF(OR(E39="Menang",E39="Kalah"),E39,IF(H39&lt;PARAMETER!$C$5,"Terlambat","Berjalan")))</f>
        <v/>
      </c>
    </row>
    <row r="40">
      <c r="A40" s="23" t="inlineStr">
        <is>
          <t>D-035</t>
        </is>
      </c>
      <c r="B40" s="23" t="inlineStr">
        <is>
          <t>PT Mega Pangan</t>
        </is>
      </c>
      <c r="C40" s="23" t="inlineStr">
        <is>
          <t>Sekar Wulandari</t>
        </is>
      </c>
      <c r="D40" s="23" t="inlineStr">
        <is>
          <t>Cold Call</t>
        </is>
      </c>
      <c r="E40" s="23" t="inlineStr">
        <is>
          <t>Kualifikasi</t>
        </is>
      </c>
      <c r="F40" s="24" t="n">
        <v>90000000</v>
      </c>
      <c r="G40" s="25" t="n">
        <v>46309</v>
      </c>
      <c r="H40" s="25" t="n">
        <v>46418</v>
      </c>
      <c r="I40" s="26">
        <f>IF(E40="","",IFERROR(INDEX(PARAMETER!$C$9:$C$14,MATCH(E40,PARAMETER!$B$9:$B$14,0)),0))</f>
        <v/>
      </c>
      <c r="J40" s="27">
        <f>IF(OR(F40="",I40=""),"",F40*I40)</f>
        <v/>
      </c>
      <c r="K40" s="28">
        <f>IF(OR(E40="",G40=""),"",IF(OR(E40="Menang",E40="Kalah"),"",PARAMETER!$C$5-G40))</f>
        <v/>
      </c>
      <c r="L40" s="29">
        <f>IF(E40="","",IF(OR(E40="Menang",E40="Kalah"),E40,IF(H40&lt;PARAMETER!$C$5,"Terlambat","Berjalan")))</f>
        <v/>
      </c>
    </row>
    <row r="41">
      <c r="A41" s="23" t="inlineStr">
        <is>
          <t>D-036</t>
        </is>
      </c>
      <c r="B41" s="23" t="inlineStr">
        <is>
          <t>PT Indo Sejahtera</t>
        </is>
      </c>
      <c r="C41" s="23" t="inlineStr">
        <is>
          <t>Dimas Anggoro</t>
        </is>
      </c>
      <c r="D41" s="23" t="inlineStr">
        <is>
          <t>Cold Call</t>
        </is>
      </c>
      <c r="E41" s="23" t="inlineStr">
        <is>
          <t>Kalah</t>
        </is>
      </c>
      <c r="F41" s="24" t="n">
        <v>27000000</v>
      </c>
      <c r="G41" s="25" t="n">
        <v>46106</v>
      </c>
      <c r="H41" s="25" t="n">
        <v>46148</v>
      </c>
      <c r="I41" s="26">
        <f>IF(E41="","",IFERROR(INDEX(PARAMETER!$C$9:$C$14,MATCH(E41,PARAMETER!$B$9:$B$14,0)),0))</f>
        <v/>
      </c>
      <c r="J41" s="27">
        <f>IF(OR(F41="",I41=""),"",F41*I41)</f>
        <v/>
      </c>
      <c r="K41" s="28">
        <f>IF(OR(E41="",G41=""),"",IF(OR(E41="Menang",E41="Kalah"),"",PARAMETER!$C$5-G41))</f>
        <v/>
      </c>
      <c r="L41" s="29">
        <f>IF(E41="","",IF(OR(E41="Menang",E41="Kalah"),E41,IF(H41&lt;PARAMETER!$C$5,"Terlambat","Berjalan")))</f>
        <v/>
      </c>
    </row>
    <row r="42">
      <c r="A42" s="23" t="inlineStr">
        <is>
          <t>D-037</t>
        </is>
      </c>
      <c r="B42" s="23" t="inlineStr">
        <is>
          <t>PT Arta Makmur</t>
        </is>
      </c>
      <c r="C42" s="23" t="inlineStr">
        <is>
          <t>Rina Pratama</t>
        </is>
      </c>
      <c r="D42" s="23" t="inlineStr">
        <is>
          <t>Media Sosial</t>
        </is>
      </c>
      <c r="E42" s="23" t="inlineStr">
        <is>
          <t>Kalah</t>
        </is>
      </c>
      <c r="F42" s="24" t="n">
        <v>208000000</v>
      </c>
      <c r="G42" s="25" t="n">
        <v>46213</v>
      </c>
      <c r="H42" s="25" t="n">
        <v>46272</v>
      </c>
      <c r="I42" s="26">
        <f>IF(E42="","",IFERROR(INDEX(PARAMETER!$C$9:$C$14,MATCH(E42,PARAMETER!$B$9:$B$14,0)),0))</f>
        <v/>
      </c>
      <c r="J42" s="27">
        <f>IF(OR(F42="",I42=""),"",F42*I42)</f>
        <v/>
      </c>
      <c r="K42" s="28">
        <f>IF(OR(E42="",G42=""),"",IF(OR(E42="Menang",E42="Kalah"),"",PARAMETER!$C$5-G42))</f>
        <v/>
      </c>
      <c r="L42" s="29">
        <f>IF(E42="","",IF(OR(E42="Menang",E42="Kalah"),E42,IF(H42&lt;PARAMETER!$C$5,"Terlambat","Berjalan")))</f>
        <v/>
      </c>
    </row>
    <row r="43">
      <c r="A43" s="23" t="inlineStr">
        <is>
          <t>D-038</t>
        </is>
      </c>
      <c r="B43" s="23" t="inlineStr">
        <is>
          <t>PT Nusantara Jaya</t>
        </is>
      </c>
      <c r="C43" s="23" t="inlineStr">
        <is>
          <t>Sekar Wulandari</t>
        </is>
      </c>
      <c r="D43" s="23" t="inlineStr">
        <is>
          <t>Referral</t>
        </is>
      </c>
      <c r="E43" s="23" t="inlineStr">
        <is>
          <t>Kualifikasi</t>
        </is>
      </c>
      <c r="F43" s="24" t="n">
        <v>268000000</v>
      </c>
      <c r="G43" s="25" t="n">
        <v>46239</v>
      </c>
      <c r="H43" s="25" t="n">
        <v>46421</v>
      </c>
      <c r="I43" s="26">
        <f>IF(E43="","",IFERROR(INDEX(PARAMETER!$C$9:$C$14,MATCH(E43,PARAMETER!$B$9:$B$14,0)),0))</f>
        <v/>
      </c>
      <c r="J43" s="27">
        <f>IF(OR(F43="",I43=""),"",F43*I43)</f>
        <v/>
      </c>
      <c r="K43" s="28">
        <f>IF(OR(E43="",G43=""),"",IF(OR(E43="Menang",E43="Kalah"),"",PARAMETER!$C$5-G43))</f>
        <v/>
      </c>
      <c r="L43" s="29">
        <f>IF(E43="","",IF(OR(E43="Menang",E43="Kalah"),E43,IF(H43&lt;PARAMETER!$C$5,"Terlambat","Berjalan")))</f>
        <v/>
      </c>
    </row>
    <row r="44">
      <c r="A44" s="23" t="inlineStr">
        <is>
          <t>D-039</t>
        </is>
      </c>
      <c r="B44" s="23" t="inlineStr">
        <is>
          <t>PT Samudra Niaga</t>
        </is>
      </c>
      <c r="C44" s="23" t="inlineStr">
        <is>
          <t>Dimas Anggoro</t>
        </is>
      </c>
      <c r="D44" s="23" t="inlineStr">
        <is>
          <t>Website</t>
        </is>
      </c>
      <c r="E44" s="23" t="inlineStr">
        <is>
          <t>Proposal</t>
        </is>
      </c>
      <c r="F44" s="24" t="n">
        <v>90000000</v>
      </c>
      <c r="G44" s="25" t="n">
        <v>46216</v>
      </c>
      <c r="H44" s="25" t="n">
        <v>46336</v>
      </c>
      <c r="I44" s="26">
        <f>IF(E44="","",IFERROR(INDEX(PARAMETER!$C$9:$C$14,MATCH(E44,PARAMETER!$B$9:$B$14,0)),0))</f>
        <v/>
      </c>
      <c r="J44" s="27">
        <f>IF(OR(F44="",I44=""),"",F44*I44)</f>
        <v/>
      </c>
      <c r="K44" s="28">
        <f>IF(OR(E44="",G44=""),"",IF(OR(E44="Menang",E44="Kalah"),"",PARAMETER!$C$5-G44))</f>
        <v/>
      </c>
      <c r="L44" s="29">
        <f>IF(E44="","",IF(OR(E44="Menang",E44="Kalah"),E44,IF(H44&lt;PARAMETER!$C$5,"Terlambat","Berjalan")))</f>
        <v/>
      </c>
    </row>
    <row r="45">
      <c r="A45" s="23" t="inlineStr">
        <is>
          <t>D-040</t>
        </is>
      </c>
      <c r="B45" s="23" t="inlineStr">
        <is>
          <t>CV Berkah Sentosa</t>
        </is>
      </c>
      <c r="C45" s="23" t="inlineStr">
        <is>
          <t>Dimas Anggoro</t>
        </is>
      </c>
      <c r="D45" s="23" t="inlineStr">
        <is>
          <t>Pameran</t>
        </is>
      </c>
      <c r="E45" s="23" t="inlineStr">
        <is>
          <t>Prospek</t>
        </is>
      </c>
      <c r="F45" s="24" t="n">
        <v>36000000</v>
      </c>
      <c r="G45" s="25" t="n">
        <v>46133</v>
      </c>
      <c r="H45" s="25" t="n">
        <v>46434</v>
      </c>
      <c r="I45" s="26">
        <f>IF(E45="","",IFERROR(INDEX(PARAMETER!$C$9:$C$14,MATCH(E45,PARAMETER!$B$9:$B$14,0)),0))</f>
        <v/>
      </c>
      <c r="J45" s="27">
        <f>IF(OR(F45="",I45=""),"",F45*I45)</f>
        <v/>
      </c>
      <c r="K45" s="28">
        <f>IF(OR(E45="",G45=""),"",IF(OR(E45="Menang",E45="Kalah"),"",PARAMETER!$C$5-G45))</f>
        <v/>
      </c>
      <c r="L45" s="29">
        <f>IF(E45="","",IF(OR(E45="Menang",E45="Kalah"),E45,IF(H45&lt;PARAMETER!$C$5,"Terlambat","Berjalan")))</f>
        <v/>
      </c>
    </row>
    <row r="46">
      <c r="A46" s="23" t="n"/>
      <c r="B46" s="23" t="n"/>
      <c r="C46" s="23" t="n"/>
      <c r="D46" s="23" t="n"/>
      <c r="E46" s="23" t="n"/>
      <c r="F46" s="24" t="n"/>
      <c r="G46" s="25" t="n"/>
      <c r="H46" s="25" t="n"/>
      <c r="I46" s="26">
        <f>IF(E46="","",IFERROR(INDEX(PARAMETER!$C$9:$C$14,MATCH(E46,PARAMETER!$B$9:$B$14,0)),0))</f>
        <v/>
      </c>
      <c r="J46" s="27">
        <f>IF(OR(F46="",I46=""),"",F46*I46)</f>
        <v/>
      </c>
      <c r="K46" s="28">
        <f>IF(OR(E46="",G46=""),"",IF(OR(E46="Menang",E46="Kalah"),"",PARAMETER!$C$5-G46))</f>
        <v/>
      </c>
      <c r="L46" s="29">
        <f>IF(E46="","",IF(OR(E46="Menang",E46="Kalah"),E46,IF(H46&lt;PARAMETER!$C$5,"Terlambat","Berjalan")))</f>
        <v/>
      </c>
    </row>
    <row r="47">
      <c r="A47" s="23" t="n"/>
      <c r="B47" s="23" t="n"/>
      <c r="C47" s="23" t="n"/>
      <c r="D47" s="23" t="n"/>
      <c r="E47" s="23" t="n"/>
      <c r="F47" s="24" t="n"/>
      <c r="G47" s="25" t="n"/>
      <c r="H47" s="25" t="n"/>
      <c r="I47" s="26">
        <f>IF(E47="","",IFERROR(INDEX(PARAMETER!$C$9:$C$14,MATCH(E47,PARAMETER!$B$9:$B$14,0)),0))</f>
        <v/>
      </c>
      <c r="J47" s="27">
        <f>IF(OR(F47="",I47=""),"",F47*I47)</f>
        <v/>
      </c>
      <c r="K47" s="28">
        <f>IF(OR(E47="",G47=""),"",IF(OR(E47="Menang",E47="Kalah"),"",PARAMETER!$C$5-G47))</f>
        <v/>
      </c>
      <c r="L47" s="29">
        <f>IF(E47="","",IF(OR(E47="Menang",E47="Kalah"),E47,IF(H47&lt;PARAMETER!$C$5,"Terlambat","Berjalan")))</f>
        <v/>
      </c>
    </row>
    <row r="48">
      <c r="A48" s="23" t="n"/>
      <c r="B48" s="23" t="n"/>
      <c r="C48" s="23" t="n"/>
      <c r="D48" s="23" t="n"/>
      <c r="E48" s="23" t="n"/>
      <c r="F48" s="24" t="n"/>
      <c r="G48" s="25" t="n"/>
      <c r="H48" s="25" t="n"/>
      <c r="I48" s="26">
        <f>IF(E48="","",IFERROR(INDEX(PARAMETER!$C$9:$C$14,MATCH(E48,PARAMETER!$B$9:$B$14,0)),0))</f>
        <v/>
      </c>
      <c r="J48" s="27">
        <f>IF(OR(F48="",I48=""),"",F48*I48)</f>
        <v/>
      </c>
      <c r="K48" s="28">
        <f>IF(OR(E48="",G48=""),"",IF(OR(E48="Menang",E48="Kalah"),"",PARAMETER!$C$5-G48))</f>
        <v/>
      </c>
      <c r="L48" s="29">
        <f>IF(E48="","",IF(OR(E48="Menang",E48="Kalah"),E48,IF(H48&lt;PARAMETER!$C$5,"Terlambat","Berjalan")))</f>
        <v/>
      </c>
    </row>
    <row r="49">
      <c r="A49" s="23" t="n"/>
      <c r="B49" s="23" t="n"/>
      <c r="C49" s="23" t="n"/>
      <c r="D49" s="23" t="n"/>
      <c r="E49" s="23" t="n"/>
      <c r="F49" s="24" t="n"/>
      <c r="G49" s="25" t="n"/>
      <c r="H49" s="25" t="n"/>
      <c r="I49" s="26">
        <f>IF(E49="","",IFERROR(INDEX(PARAMETER!$C$9:$C$14,MATCH(E49,PARAMETER!$B$9:$B$14,0)),0))</f>
        <v/>
      </c>
      <c r="J49" s="27">
        <f>IF(OR(F49="",I49=""),"",F49*I49)</f>
        <v/>
      </c>
      <c r="K49" s="28">
        <f>IF(OR(E49="",G49=""),"",IF(OR(E49="Menang",E49="Kalah"),"",PARAMETER!$C$5-G49))</f>
        <v/>
      </c>
      <c r="L49" s="29">
        <f>IF(E49="","",IF(OR(E49="Menang",E49="Kalah"),E49,IF(H49&lt;PARAMETER!$C$5,"Terlambat","Berjalan")))</f>
        <v/>
      </c>
    </row>
    <row r="50">
      <c r="A50" s="23" t="n"/>
      <c r="B50" s="23" t="n"/>
      <c r="C50" s="23" t="n"/>
      <c r="D50" s="23" t="n"/>
      <c r="E50" s="23" t="n"/>
      <c r="F50" s="24" t="n"/>
      <c r="G50" s="25" t="n"/>
      <c r="H50" s="25" t="n"/>
      <c r="I50" s="26">
        <f>IF(E50="","",IFERROR(INDEX(PARAMETER!$C$9:$C$14,MATCH(E50,PARAMETER!$B$9:$B$14,0)),0))</f>
        <v/>
      </c>
      <c r="J50" s="27">
        <f>IF(OR(F50="",I50=""),"",F50*I50)</f>
        <v/>
      </c>
      <c r="K50" s="28">
        <f>IF(OR(E50="",G50=""),"",IF(OR(E50="Menang",E50="Kalah"),"",PARAMETER!$C$5-G50))</f>
        <v/>
      </c>
      <c r="L50" s="29">
        <f>IF(E50="","",IF(OR(E50="Menang",E50="Kalah"),E50,IF(H50&lt;PARAMETER!$C$5,"Terlambat","Berjalan")))</f>
        <v/>
      </c>
    </row>
    <row r="51">
      <c r="A51" s="23" t="n"/>
      <c r="B51" s="23" t="n"/>
      <c r="C51" s="23" t="n"/>
      <c r="D51" s="23" t="n"/>
      <c r="E51" s="23" t="n"/>
      <c r="F51" s="24" t="n"/>
      <c r="G51" s="25" t="n"/>
      <c r="H51" s="25" t="n"/>
      <c r="I51" s="26">
        <f>IF(E51="","",IFERROR(INDEX(PARAMETER!$C$9:$C$14,MATCH(E51,PARAMETER!$B$9:$B$14,0)),0))</f>
        <v/>
      </c>
      <c r="J51" s="27">
        <f>IF(OR(F51="",I51=""),"",F51*I51)</f>
        <v/>
      </c>
      <c r="K51" s="28">
        <f>IF(OR(E51="",G51=""),"",IF(OR(E51="Menang",E51="Kalah"),"",PARAMETER!$C$5-G51))</f>
        <v/>
      </c>
      <c r="L51" s="29">
        <f>IF(E51="","",IF(OR(E51="Menang",E51="Kalah"),E51,IF(H51&lt;PARAMETER!$C$5,"Terlambat","Berjalan")))</f>
        <v/>
      </c>
    </row>
    <row r="52">
      <c r="A52" s="23" t="n"/>
      <c r="B52" s="23" t="n"/>
      <c r="C52" s="23" t="n"/>
      <c r="D52" s="23" t="n"/>
      <c r="E52" s="23" t="n"/>
      <c r="F52" s="24" t="n"/>
      <c r="G52" s="25" t="n"/>
      <c r="H52" s="25" t="n"/>
      <c r="I52" s="26">
        <f>IF(E52="","",IFERROR(INDEX(PARAMETER!$C$9:$C$14,MATCH(E52,PARAMETER!$B$9:$B$14,0)),0))</f>
        <v/>
      </c>
      <c r="J52" s="27">
        <f>IF(OR(F52="",I52=""),"",F52*I52)</f>
        <v/>
      </c>
      <c r="K52" s="28">
        <f>IF(OR(E52="",G52=""),"",IF(OR(E52="Menang",E52="Kalah"),"",PARAMETER!$C$5-G52))</f>
        <v/>
      </c>
      <c r="L52" s="29">
        <f>IF(E52="","",IF(OR(E52="Menang",E52="Kalah"),E52,IF(H52&lt;PARAMETER!$C$5,"Terlambat","Berjalan")))</f>
        <v/>
      </c>
    </row>
    <row r="53">
      <c r="A53" s="23" t="n"/>
      <c r="B53" s="23" t="n"/>
      <c r="C53" s="23" t="n"/>
      <c r="D53" s="23" t="n"/>
      <c r="E53" s="23" t="n"/>
      <c r="F53" s="24" t="n"/>
      <c r="G53" s="25" t="n"/>
      <c r="H53" s="25" t="n"/>
      <c r="I53" s="26">
        <f>IF(E53="","",IFERROR(INDEX(PARAMETER!$C$9:$C$14,MATCH(E53,PARAMETER!$B$9:$B$14,0)),0))</f>
        <v/>
      </c>
      <c r="J53" s="27">
        <f>IF(OR(F53="",I53=""),"",F53*I53)</f>
        <v/>
      </c>
      <c r="K53" s="28">
        <f>IF(OR(E53="",G53=""),"",IF(OR(E53="Menang",E53="Kalah"),"",PARAMETER!$C$5-G53))</f>
        <v/>
      </c>
      <c r="L53" s="29">
        <f>IF(E53="","",IF(OR(E53="Menang",E53="Kalah"),E53,IF(H53&lt;PARAMETER!$C$5,"Terlambat","Berjalan")))</f>
        <v/>
      </c>
    </row>
    <row r="54">
      <c r="A54" s="23" t="n"/>
      <c r="B54" s="23" t="n"/>
      <c r="C54" s="23" t="n"/>
      <c r="D54" s="23" t="n"/>
      <c r="E54" s="23" t="n"/>
      <c r="F54" s="24" t="n"/>
      <c r="G54" s="25" t="n"/>
      <c r="H54" s="25" t="n"/>
      <c r="I54" s="26">
        <f>IF(E54="","",IFERROR(INDEX(PARAMETER!$C$9:$C$14,MATCH(E54,PARAMETER!$B$9:$B$14,0)),0))</f>
        <v/>
      </c>
      <c r="J54" s="27">
        <f>IF(OR(F54="",I54=""),"",F54*I54)</f>
        <v/>
      </c>
      <c r="K54" s="28">
        <f>IF(OR(E54="",G54=""),"",IF(OR(E54="Menang",E54="Kalah"),"",PARAMETER!$C$5-G54))</f>
        <v/>
      </c>
      <c r="L54" s="29">
        <f>IF(E54="","",IF(OR(E54="Menang",E54="Kalah"),E54,IF(H54&lt;PARAMETER!$C$5,"Terlambat","Berjalan")))</f>
        <v/>
      </c>
    </row>
    <row r="55">
      <c r="A55" s="23" t="n"/>
      <c r="B55" s="23" t="n"/>
      <c r="C55" s="23" t="n"/>
      <c r="D55" s="23" t="n"/>
      <c r="E55" s="23" t="n"/>
      <c r="F55" s="24" t="n"/>
      <c r="G55" s="25" t="n"/>
      <c r="H55" s="25" t="n"/>
      <c r="I55" s="26">
        <f>IF(E55="","",IFERROR(INDEX(PARAMETER!$C$9:$C$14,MATCH(E55,PARAMETER!$B$9:$B$14,0)),0))</f>
        <v/>
      </c>
      <c r="J55" s="27">
        <f>IF(OR(F55="",I55=""),"",F55*I55)</f>
        <v/>
      </c>
      <c r="K55" s="28">
        <f>IF(OR(E55="",G55=""),"",IF(OR(E55="Menang",E55="Kalah"),"",PARAMETER!$C$5-G55))</f>
        <v/>
      </c>
      <c r="L55" s="29">
        <f>IF(E55="","",IF(OR(E55="Menang",E55="Kalah"),E55,IF(H55&lt;PARAMETER!$C$5,"Terlambat","Berjalan")))</f>
        <v/>
      </c>
    </row>
    <row r="56">
      <c r="A56" s="23" t="n"/>
      <c r="B56" s="23" t="n"/>
      <c r="C56" s="23" t="n"/>
      <c r="D56" s="23" t="n"/>
      <c r="E56" s="23" t="n"/>
      <c r="F56" s="24" t="n"/>
      <c r="G56" s="25" t="n"/>
      <c r="H56" s="25" t="n"/>
      <c r="I56" s="26">
        <f>IF(E56="","",IFERROR(INDEX(PARAMETER!$C$9:$C$14,MATCH(E56,PARAMETER!$B$9:$B$14,0)),0))</f>
        <v/>
      </c>
      <c r="J56" s="27">
        <f>IF(OR(F56="",I56=""),"",F56*I56)</f>
        <v/>
      </c>
      <c r="K56" s="28">
        <f>IF(OR(E56="",G56=""),"",IF(OR(E56="Menang",E56="Kalah"),"",PARAMETER!$C$5-G56))</f>
        <v/>
      </c>
      <c r="L56" s="29">
        <f>IF(E56="","",IF(OR(E56="Menang",E56="Kalah"),E56,IF(H56&lt;PARAMETER!$C$5,"Terlambat","Berjalan")))</f>
        <v/>
      </c>
    </row>
    <row r="57">
      <c r="A57" s="23" t="n"/>
      <c r="B57" s="23" t="n"/>
      <c r="C57" s="23" t="n"/>
      <c r="D57" s="23" t="n"/>
      <c r="E57" s="23" t="n"/>
      <c r="F57" s="24" t="n"/>
      <c r="G57" s="25" t="n"/>
      <c r="H57" s="25" t="n"/>
      <c r="I57" s="26">
        <f>IF(E57="","",IFERROR(INDEX(PARAMETER!$C$9:$C$14,MATCH(E57,PARAMETER!$B$9:$B$14,0)),0))</f>
        <v/>
      </c>
      <c r="J57" s="27">
        <f>IF(OR(F57="",I57=""),"",F57*I57)</f>
        <v/>
      </c>
      <c r="K57" s="28">
        <f>IF(OR(E57="",G57=""),"",IF(OR(E57="Menang",E57="Kalah"),"",PARAMETER!$C$5-G57))</f>
        <v/>
      </c>
      <c r="L57" s="29">
        <f>IF(E57="","",IF(OR(E57="Menang",E57="Kalah"),E57,IF(H57&lt;PARAMETER!$C$5,"Terlambat","Berjalan")))</f>
        <v/>
      </c>
    </row>
    <row r="58">
      <c r="A58" s="23" t="n"/>
      <c r="B58" s="23" t="n"/>
      <c r="C58" s="23" t="n"/>
      <c r="D58" s="23" t="n"/>
      <c r="E58" s="23" t="n"/>
      <c r="F58" s="24" t="n"/>
      <c r="G58" s="25" t="n"/>
      <c r="H58" s="25" t="n"/>
      <c r="I58" s="26">
        <f>IF(E58="","",IFERROR(INDEX(PARAMETER!$C$9:$C$14,MATCH(E58,PARAMETER!$B$9:$B$14,0)),0))</f>
        <v/>
      </c>
      <c r="J58" s="27">
        <f>IF(OR(F58="",I58=""),"",F58*I58)</f>
        <v/>
      </c>
      <c r="K58" s="28">
        <f>IF(OR(E58="",G58=""),"",IF(OR(E58="Menang",E58="Kalah"),"",PARAMETER!$C$5-G58))</f>
        <v/>
      </c>
      <c r="L58" s="29">
        <f>IF(E58="","",IF(OR(E58="Menang",E58="Kalah"),E58,IF(H58&lt;PARAMETER!$C$5,"Terlambat","Berjalan")))</f>
        <v/>
      </c>
    </row>
    <row r="59">
      <c r="A59" s="23" t="n"/>
      <c r="B59" s="23" t="n"/>
      <c r="C59" s="23" t="n"/>
      <c r="D59" s="23" t="n"/>
      <c r="E59" s="23" t="n"/>
      <c r="F59" s="24" t="n"/>
      <c r="G59" s="25" t="n"/>
      <c r="H59" s="25" t="n"/>
      <c r="I59" s="26">
        <f>IF(E59="","",IFERROR(INDEX(PARAMETER!$C$9:$C$14,MATCH(E59,PARAMETER!$B$9:$B$14,0)),0))</f>
        <v/>
      </c>
      <c r="J59" s="27">
        <f>IF(OR(F59="",I59=""),"",F59*I59)</f>
        <v/>
      </c>
      <c r="K59" s="28">
        <f>IF(OR(E59="",G59=""),"",IF(OR(E59="Menang",E59="Kalah"),"",PARAMETER!$C$5-G59))</f>
        <v/>
      </c>
      <c r="L59" s="29">
        <f>IF(E59="","",IF(OR(E59="Menang",E59="Kalah"),E59,IF(H59&lt;PARAMETER!$C$5,"Terlambat","Berjalan")))</f>
        <v/>
      </c>
    </row>
    <row r="60">
      <c r="A60" s="23" t="n"/>
      <c r="B60" s="23" t="n"/>
      <c r="C60" s="23" t="n"/>
      <c r="D60" s="23" t="n"/>
      <c r="E60" s="23" t="n"/>
      <c r="F60" s="24" t="n"/>
      <c r="G60" s="25" t="n"/>
      <c r="H60" s="25" t="n"/>
      <c r="I60" s="26">
        <f>IF(E60="","",IFERROR(INDEX(PARAMETER!$C$9:$C$14,MATCH(E60,PARAMETER!$B$9:$B$14,0)),0))</f>
        <v/>
      </c>
      <c r="J60" s="27">
        <f>IF(OR(F60="",I60=""),"",F60*I60)</f>
        <v/>
      </c>
      <c r="K60" s="28">
        <f>IF(OR(E60="",G60=""),"",IF(OR(E60="Menang",E60="Kalah"),"",PARAMETER!$C$5-G60))</f>
        <v/>
      </c>
      <c r="L60" s="29">
        <f>IF(E60="","",IF(OR(E60="Menang",E60="Kalah"),E60,IF(H60&lt;PARAMETER!$C$5,"Terlambat","Berjalan")))</f>
        <v/>
      </c>
    </row>
    <row r="61">
      <c r="A61" s="23" t="n"/>
      <c r="B61" s="23" t="n"/>
      <c r="C61" s="23" t="n"/>
      <c r="D61" s="23" t="n"/>
      <c r="E61" s="23" t="n"/>
      <c r="F61" s="24" t="n"/>
      <c r="G61" s="25" t="n"/>
      <c r="H61" s="25" t="n"/>
      <c r="I61" s="26">
        <f>IF(E61="","",IFERROR(INDEX(PARAMETER!$C$9:$C$14,MATCH(E61,PARAMETER!$B$9:$B$14,0)),0))</f>
        <v/>
      </c>
      <c r="J61" s="27">
        <f>IF(OR(F61="",I61=""),"",F61*I61)</f>
        <v/>
      </c>
      <c r="K61" s="28">
        <f>IF(OR(E61="",G61=""),"",IF(OR(E61="Menang",E61="Kalah"),"",PARAMETER!$C$5-G61))</f>
        <v/>
      </c>
      <c r="L61" s="29">
        <f>IF(E61="","",IF(OR(E61="Menang",E61="Kalah"),E61,IF(H61&lt;PARAMETER!$C$5,"Terlambat","Berjalan")))</f>
        <v/>
      </c>
    </row>
    <row r="62">
      <c r="A62" s="23" t="n"/>
      <c r="B62" s="23" t="n"/>
      <c r="C62" s="23" t="n"/>
      <c r="D62" s="23" t="n"/>
      <c r="E62" s="23" t="n"/>
      <c r="F62" s="24" t="n"/>
      <c r="G62" s="25" t="n"/>
      <c r="H62" s="25" t="n"/>
      <c r="I62" s="26">
        <f>IF(E62="","",IFERROR(INDEX(PARAMETER!$C$9:$C$14,MATCH(E62,PARAMETER!$B$9:$B$14,0)),0))</f>
        <v/>
      </c>
      <c r="J62" s="27">
        <f>IF(OR(F62="",I62=""),"",F62*I62)</f>
        <v/>
      </c>
      <c r="K62" s="28">
        <f>IF(OR(E62="",G62=""),"",IF(OR(E62="Menang",E62="Kalah"),"",PARAMETER!$C$5-G62))</f>
        <v/>
      </c>
      <c r="L62" s="29">
        <f>IF(E62="","",IF(OR(E62="Menang",E62="Kalah"),E62,IF(H62&lt;PARAMETER!$C$5,"Terlambat","Berjalan")))</f>
        <v/>
      </c>
    </row>
    <row r="63">
      <c r="A63" s="23" t="n"/>
      <c r="B63" s="23" t="n"/>
      <c r="C63" s="23" t="n"/>
      <c r="D63" s="23" t="n"/>
      <c r="E63" s="23" t="n"/>
      <c r="F63" s="24" t="n"/>
      <c r="G63" s="25" t="n"/>
      <c r="H63" s="25" t="n"/>
      <c r="I63" s="26">
        <f>IF(E63="","",IFERROR(INDEX(PARAMETER!$C$9:$C$14,MATCH(E63,PARAMETER!$B$9:$B$14,0)),0))</f>
        <v/>
      </c>
      <c r="J63" s="27">
        <f>IF(OR(F63="",I63=""),"",F63*I63)</f>
        <v/>
      </c>
      <c r="K63" s="28">
        <f>IF(OR(E63="",G63=""),"",IF(OR(E63="Menang",E63="Kalah"),"",PARAMETER!$C$5-G63))</f>
        <v/>
      </c>
      <c r="L63" s="29">
        <f>IF(E63="","",IF(OR(E63="Menang",E63="Kalah"),E63,IF(H63&lt;PARAMETER!$C$5,"Terlambat","Berjalan")))</f>
        <v/>
      </c>
    </row>
    <row r="64">
      <c r="A64" s="23" t="n"/>
      <c r="B64" s="23" t="n"/>
      <c r="C64" s="23" t="n"/>
      <c r="D64" s="23" t="n"/>
      <c r="E64" s="23" t="n"/>
      <c r="F64" s="24" t="n"/>
      <c r="G64" s="25" t="n"/>
      <c r="H64" s="25" t="n"/>
      <c r="I64" s="26">
        <f>IF(E64="","",IFERROR(INDEX(PARAMETER!$C$9:$C$14,MATCH(E64,PARAMETER!$B$9:$B$14,0)),0))</f>
        <v/>
      </c>
      <c r="J64" s="27">
        <f>IF(OR(F64="",I64=""),"",F64*I64)</f>
        <v/>
      </c>
      <c r="K64" s="28">
        <f>IF(OR(E64="",G64=""),"",IF(OR(E64="Menang",E64="Kalah"),"",PARAMETER!$C$5-G64))</f>
        <v/>
      </c>
      <c r="L64" s="29">
        <f>IF(E64="","",IF(OR(E64="Menang",E64="Kalah"),E64,IF(H64&lt;PARAMETER!$C$5,"Terlambat","Berjalan")))</f>
        <v/>
      </c>
    </row>
    <row r="65">
      <c r="A65" s="23" t="n"/>
      <c r="B65" s="23" t="n"/>
      <c r="C65" s="23" t="n"/>
      <c r="D65" s="23" t="n"/>
      <c r="E65" s="23" t="n"/>
      <c r="F65" s="24" t="n"/>
      <c r="G65" s="25" t="n"/>
      <c r="H65" s="25" t="n"/>
      <c r="I65" s="26">
        <f>IF(E65="","",IFERROR(INDEX(PARAMETER!$C$9:$C$14,MATCH(E65,PARAMETER!$B$9:$B$14,0)),0))</f>
        <v/>
      </c>
      <c r="J65" s="27">
        <f>IF(OR(F65="",I65=""),"",F65*I65)</f>
        <v/>
      </c>
      <c r="K65" s="28">
        <f>IF(OR(E65="",G65=""),"",IF(OR(E65="Menang",E65="Kalah"),"",PARAMETER!$C$5-G65))</f>
        <v/>
      </c>
      <c r="L65" s="29">
        <f>IF(E65="","",IF(OR(E65="Menang",E65="Kalah"),E65,IF(H65&lt;PARAMETER!$C$5,"Terlambat","Berjalan")))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L65"/>
  <mergeCells count="1">
    <mergeCell ref="A3:L3"/>
  </mergeCells>
  <conditionalFormatting sqref="L6:L65">
    <cfRule type="cellIs" priority="1" operator="equal" dxfId="0">
      <formula>"Terlambat"</formula>
    </cfRule>
    <cfRule type="cellIs" priority="2" operator="equal" dxfId="1">
      <formula>"Menang"</formula>
    </cfRule>
  </conditionalFormatting>
  <dataValidations count="3">
    <dataValidation sqref="C6:C65" showDropDown="0" showInputMessage="0" showErrorMessage="0" allowBlank="1" type="list">
      <formula1>=PARAMETER!$B$17:$B$24</formula1>
    </dataValidation>
    <dataValidation sqref="D6:D65" showDropDown="0" showInputMessage="0" showErrorMessage="0" allowBlank="1" type="list">
      <formula1>=PARAMETER!$D$17:$D$24</formula1>
    </dataValidation>
    <dataValidation sqref="E6:E65" showDropDown="0" showInputMessage="0" showErrorMessage="0" allowBlank="1" type="list">
      <formula1>=PARAMETER!$B$9:$B$14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0" customWidth="1" min="4" max="4"/>
    <col width="4" customWidth="1" min="5" max="5"/>
    <col width="4" customWidth="1" min="6" max="6"/>
  </cols>
  <sheetData>
    <row r="1" ht="24" customHeight="1">
      <c r="A1" s="13" t="inlineStr">
        <is>
          <t>Ringkasan Pipeline</t>
        </is>
      </c>
    </row>
    <row r="2">
      <c r="A2" s="14">
        <f>"Per tanggal "&amp;TEXT(PARAMETER!C5,"dd-mmm-yyyy")</f>
        <v/>
      </c>
    </row>
    <row r="3">
      <c r="A3" s="15" t="inlineStr">
        <is>
          <t>VERSI DEMO: kapasitas &amp; fitur dibatasi, data simulasi. Versi lengkap: WhatsApp 089623291732</t>
        </is>
      </c>
    </row>
    <row r="5" ht="24" customHeight="1">
      <c r="A5" s="19" t="inlineStr">
        <is>
          <t>Tahap</t>
        </is>
      </c>
      <c r="B5" s="19" t="inlineStr">
        <is>
          <t>Jumlah Deal</t>
        </is>
      </c>
      <c r="C5" s="19" t="inlineStr">
        <is>
          <t>Nilai (Rp)</t>
        </is>
      </c>
      <c r="D5" s="19" t="inlineStr">
        <is>
          <t>Tertimbang (Rp)</t>
        </is>
      </c>
    </row>
    <row r="6">
      <c r="A6" s="20">
        <f>PARAMETER!B9</f>
        <v/>
      </c>
      <c r="B6" s="28">
        <f>COUNTIFS(DEAL!$E$6:$E$65,A6)</f>
        <v/>
      </c>
      <c r="C6" s="27">
        <f>SUMIFS(DEAL!$F$6:$F$65,DEAL!$E$6:$E$65,A6)</f>
        <v/>
      </c>
      <c r="D6" s="27">
        <f>SUMIFS(DEAL!$J$6:$J$65,DEAL!$E$6:$E$65,A6)</f>
        <v/>
      </c>
    </row>
    <row r="7">
      <c r="A7" s="20">
        <f>PARAMETER!B10</f>
        <v/>
      </c>
      <c r="B7" s="28">
        <f>COUNTIFS(DEAL!$E$6:$E$65,A7)</f>
        <v/>
      </c>
      <c r="C7" s="27">
        <f>SUMIFS(DEAL!$F$6:$F$65,DEAL!$E$6:$E$65,A7)</f>
        <v/>
      </c>
      <c r="D7" s="27">
        <f>SUMIFS(DEAL!$J$6:$J$65,DEAL!$E$6:$E$65,A7)</f>
        <v/>
      </c>
    </row>
    <row r="8">
      <c r="A8" s="20">
        <f>PARAMETER!B11</f>
        <v/>
      </c>
      <c r="B8" s="28">
        <f>COUNTIFS(DEAL!$E$6:$E$65,A8)</f>
        <v/>
      </c>
      <c r="C8" s="27">
        <f>SUMIFS(DEAL!$F$6:$F$65,DEAL!$E$6:$E$65,A8)</f>
        <v/>
      </c>
      <c r="D8" s="27">
        <f>SUMIFS(DEAL!$J$6:$J$65,DEAL!$E$6:$E$65,A8)</f>
        <v/>
      </c>
    </row>
    <row r="9">
      <c r="A9" s="20">
        <f>PARAMETER!B12</f>
        <v/>
      </c>
      <c r="B9" s="28">
        <f>COUNTIFS(DEAL!$E$6:$E$65,A9)</f>
        <v/>
      </c>
      <c r="C9" s="27">
        <f>SUMIFS(DEAL!$F$6:$F$65,DEAL!$E$6:$E$65,A9)</f>
        <v/>
      </c>
      <c r="D9" s="27">
        <f>SUMIFS(DEAL!$J$6:$J$65,DEAL!$E$6:$E$65,A9)</f>
        <v/>
      </c>
    </row>
    <row r="10">
      <c r="A10" s="20">
        <f>PARAMETER!B13</f>
        <v/>
      </c>
      <c r="B10" s="28">
        <f>COUNTIFS(DEAL!$E$6:$E$65,A10)</f>
        <v/>
      </c>
      <c r="C10" s="27">
        <f>SUMIFS(DEAL!$F$6:$F$65,DEAL!$E$6:$E$65,A10)</f>
        <v/>
      </c>
      <c r="D10" s="27">
        <f>SUMIFS(DEAL!$J$6:$J$65,DEAL!$E$6:$E$65,A10)</f>
        <v/>
      </c>
    </row>
    <row r="11">
      <c r="A11" s="20">
        <f>PARAMETER!B14</f>
        <v/>
      </c>
      <c r="B11" s="28">
        <f>COUNTIFS(DEAL!$E$6:$E$65,A11)</f>
        <v/>
      </c>
      <c r="C11" s="27">
        <f>SUMIFS(DEAL!$F$6:$F$65,DEAL!$E$6:$E$65,A11)</f>
        <v/>
      </c>
      <c r="D11" s="27">
        <f>SUMIFS(DEAL!$J$6:$J$65,DEAL!$E$6:$E$65,A11)</f>
        <v/>
      </c>
    </row>
    <row r="12">
      <c r="A12" s="30" t="inlineStr">
        <is>
          <t>TOTAL</t>
        </is>
      </c>
      <c r="B12" s="31">
        <f>SUM(B6:B11)</f>
        <v/>
      </c>
      <c r="C12" s="32">
        <f>SUM(C6:C11)</f>
        <v/>
      </c>
      <c r="D12" s="32">
        <f>SUM(D6:D11)</f>
        <v/>
      </c>
    </row>
    <row r="14">
      <c r="A14" s="6" t="inlineStr">
        <is>
          <t>INDIKATOR UTAMA</t>
        </is>
      </c>
      <c r="B14" s="7" t="n"/>
      <c r="C14" s="7" t="n"/>
      <c r="D14" s="7" t="n"/>
    </row>
    <row r="15">
      <c r="A15" s="16" t="inlineStr">
        <is>
          <t>Pipeline terbuka (Rp)</t>
        </is>
      </c>
      <c r="B15" s="33">
        <f>SUM(C6:C9)</f>
        <v/>
      </c>
    </row>
    <row r="16">
      <c r="A16" s="16" t="inlineStr">
        <is>
          <t>Pipeline terbuka tertimbang (Rp)</t>
        </is>
      </c>
      <c r="B16" s="33">
        <f>SUM(D6:D9)</f>
        <v/>
      </c>
    </row>
    <row r="17">
      <c r="A17" s="16" t="inlineStr">
        <is>
          <t>Nilai menang (Rp)</t>
        </is>
      </c>
      <c r="B17" s="33">
        <f>C10</f>
        <v/>
      </c>
    </row>
    <row r="18">
      <c r="A18" s="16" t="inlineStr">
        <is>
          <t>Win rate (jumlah deal)</t>
        </is>
      </c>
      <c r="B18" s="34">
        <f>IF(B10+B11=0,0,B10/(B10+B11))</f>
        <v/>
      </c>
    </row>
    <row r="19">
      <c r="A19" s="16" t="inlineStr">
        <is>
          <t>Win rate (nilai)</t>
        </is>
      </c>
      <c r="B19" s="34">
        <f>IF(C10+C11=0,0,C10/(C10+C11))</f>
        <v/>
      </c>
    </row>
    <row r="20">
      <c r="A20" s="16" t="inlineStr">
        <is>
          <t>Rata-rata nilai deal menang (Rp)</t>
        </is>
      </c>
      <c r="B20" s="33">
        <f>IF(B10=0,0,C10/B10)</f>
        <v/>
      </c>
    </row>
    <row r="21">
      <c r="A21" s="16" t="inlineStr">
        <is>
          <t>Deal terlambat (jumlah)</t>
        </is>
      </c>
      <c r="B21" s="35">
        <f>COUNTIFS(DEAL!$L$6:$L$65,"Terlambat")</f>
        <v/>
      </c>
    </row>
    <row r="22">
      <c r="A22" s="16" t="inlineStr">
        <is>
          <t>Target penjualan (Rp)</t>
        </is>
      </c>
      <c r="B22" s="33">
        <f>PARAMETER!C6</f>
        <v/>
      </c>
    </row>
    <row r="23">
      <c r="A23" s="16" t="inlineStr">
        <is>
          <t>Capaian (menang / target)</t>
        </is>
      </c>
      <c r="B23" s="34">
        <f>IF(B22=0,0,B17/B22)</f>
        <v/>
      </c>
    </row>
    <row r="24">
      <c r="A24" s="16" t="inlineStr">
        <is>
          <t>Coverage: tertimbang / sisa target</t>
        </is>
      </c>
      <c r="B24" s="36">
        <f>IF(B22-B17&lt;=0,"Target tercapai",B16/(B22-B17))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Pipeline &amp; Forecast Penjualan (Demo)</dc:title>
  <dc:subject xmlns:dc="http://purl.org/dc/elements/1.1/">Lisensi: demo</dc:subject>
  <dcterms:created xmlns:dcterms="http://purl.org/dc/terms/" xmlns:xsi="http://www.w3.org/2001/XMLSchema-instance" xsi:type="dcterms:W3CDTF">2026-10-29T16:50:45Z</dcterms:created>
  <dcterms:modified xmlns:dcterms="http://purl.org/dc/terms/" xmlns:xsi="http://www.w3.org/2001/XMLSchema-instance" xsi:type="dcterms:W3CDTF">2026-10-29T16:50:45Z</dcterms:modified>
</cp:coreProperties>
</file>