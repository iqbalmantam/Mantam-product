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INJAMAN" sheetId="2" state="visible" r:id="rId2"/>
    <sheet xmlns:r="http://schemas.openxmlformats.org/officeDocument/2006/relationships" name="INVEST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yyyy-mm-dd"/>
    <numFmt numFmtId="166" formatCode="dd-mmm-yyyy"/>
    <numFmt numFmtId="167" formatCode="0.0%"/>
    <numFmt numFmtId="168" formatCode="0.0000"/>
  </numFmts>
  <fonts count="14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F2F5FA"/>
      </patternFill>
    </fill>
    <fill>
      <patternFill patternType="solid">
        <fgColor rgb="000B1A3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164" fontId="9" fillId="3" borderId="1" applyAlignment="1" applyProtection="1" pivotButton="0" quotePrefix="0" xfId="0">
      <alignment horizontal="right" vertical="center"/>
      <protection locked="0" hidden="0"/>
    </xf>
    <xf numFmtId="164" fontId="7" fillId="5" borderId="1" applyAlignment="1" pivotButton="0" quotePrefix="0" xfId="0">
      <alignment horizontal="right" vertical="center"/>
    </xf>
    <xf numFmtId="0" fontId="13" fillId="0" borderId="0" pivotButton="0" quotePrefix="0" xfId="0"/>
    <xf numFmtId="10" fontId="9" fillId="3" borderId="1" applyAlignment="1" applyProtection="1" pivotButton="0" quotePrefix="0" xfId="0">
      <alignment horizontal="right" vertical="center"/>
      <protection locked="0" hidden="0"/>
    </xf>
    <xf numFmtId="1" fontId="9" fillId="3" borderId="1" applyAlignment="1" applyProtection="1" pivotButton="0" quotePrefix="0" xfId="0">
      <alignment horizontal="right" vertical="center"/>
      <protection locked="0" hidden="0"/>
    </xf>
    <xf numFmtId="166" fontId="9" fillId="3" borderId="1" applyAlignment="1" applyProtection="1" pivotButton="0" quotePrefix="0" xfId="0">
      <alignment horizontal="right" vertical="center"/>
      <protection locked="0" hidden="0"/>
    </xf>
    <xf numFmtId="1" fontId="7" fillId="5" borderId="1" applyAlignment="1" pivotButton="0" quotePrefix="0" xfId="0">
      <alignment horizontal="right" vertical="center"/>
    </xf>
    <xf numFmtId="0" fontId="9" fillId="3" borderId="1" applyAlignment="1" applyProtection="1" pivotButton="0" quotePrefix="0" xfId="0">
      <alignment horizontal="right" vertical="center"/>
      <protection locked="0" hidden="0"/>
    </xf>
    <xf numFmtId="166" fontId="7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/>
    </xf>
    <xf numFmtId="166" fontId="8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164" fontId="7" fillId="0" borderId="1" pivotButton="0" quotePrefix="0" xfId="0"/>
    <xf numFmtId="164" fontId="9" fillId="3" borderId="1" applyProtection="1" pivotButton="0" quotePrefix="0" xfId="0">
      <protection locked="0" hidden="0"/>
    </xf>
    <xf numFmtId="167" fontId="9" fillId="3" borderId="1" applyProtection="1" pivotButton="0" quotePrefix="0" xfId="0">
      <protection locked="0" hidden="0"/>
    </xf>
    <xf numFmtId="168" fontId="8" fillId="0" borderId="1" pivotButton="0" quotePrefix="0" xfId="0"/>
    <xf numFmtId="164" fontId="9" fillId="0" borderId="1" applyProtection="1" pivotButton="0" quotePrefix="0" xfId="0">
      <protection locked="0" hidden="0"/>
    </xf>
    <xf numFmtId="2" fontId="8" fillId="0" borderId="1" pivotButton="0" quotePrefix="0" xfId="0"/>
    <xf numFmtId="10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rial"/>
        <color rgb="00A0A8B5"/>
        <sz val="10"/>
      </font>
    </dxf>
    <dxf>
      <font>
        <name val="Arial"/>
        <b val="1"/>
        <color rgb="001E8449"/>
        <sz val="10"/>
      </font>
    </dxf>
    <dxf>
      <font>
        <name val="Arial"/>
        <b val="1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Pinjaman (Rp juta)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8000">
              <a:solidFill>
                <a:srgbClr val="0E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'PINJAMAN'!$H$17:$H$77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Arus Kas Kumulatif (Rp juta)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'INVESTASI'!$A$11:$A$16</f>
            </numRef>
          </cat>
          <val>
            <numRef>
              <f>'INVESTASI'!$E$11:$E$16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Pinjaman &amp; Investasi</t>
        </is>
      </c>
    </row>
    <row r="3" ht="44" customHeight="1">
      <c r="B3" s="3" t="inlineStr">
        <is>
          <t>Hitung angsuran, total bunga, dan jadwal amortisasi; nilai kelayakan proyek dengan NPV dan IRR dalam satu berkas.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Buka PINJAMAN, isi jumlah pinjaman, bunga tahunan, tenor, dan tanggal pencairan (sel kuning).</t>
        </is>
      </c>
    </row>
    <row r="9" ht="16" customHeight="1">
      <c r="B9" s="8" t="inlineStr">
        <is>
          <t>Langkah 2</t>
        </is>
      </c>
      <c r="C9" s="9" t="inlineStr">
        <is>
          <t>Baca angsuran bulanan, total bunga, tanggal lunas, dan jadwal amortisasi di bawahnya.</t>
        </is>
      </c>
    </row>
    <row r="10" ht="16" customHeight="1">
      <c r="B10" s="8" t="inlineStr">
        <is>
          <t>Langkah 3</t>
        </is>
      </c>
      <c r="C10" s="9" t="inlineStr">
        <is>
          <t>Buka INVESTASI, isi investasi awal, tingkat diskonto, dan arus kas bersih per tahun.</t>
        </is>
      </c>
    </row>
    <row r="11" ht="16" customHeight="1">
      <c r="B11" s="8" t="inlineStr">
        <is>
          <t>Langkah 4</t>
        </is>
      </c>
      <c r="C11" s="9" t="inlineStr">
        <is>
          <t>Lihat NPV, IRR, payback, dan keputusan kelayakan.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PINJAMAN</t>
        </is>
      </c>
      <c r="C14" s="9" t="inlineStr">
        <is>
          <t>Kalkulator pinjaman dengan jadwal amortisasi bulanan (kapasitas 60 bulan).</t>
        </is>
      </c>
    </row>
    <row r="15" ht="16" customHeight="1">
      <c r="B15" s="8" t="inlineStr">
        <is>
          <t>INVESTASI</t>
        </is>
      </c>
      <c r="C15" s="9" t="inlineStr">
        <is>
          <t>Analisis kelayakan investasi 5 tahun: NPV, IRR, payback.</t>
        </is>
      </c>
    </row>
    <row r="17">
      <c r="B17" s="6" t="inlineStr">
        <is>
          <t>Legenda warna</t>
        </is>
      </c>
      <c r="C17" s="7" t="n"/>
    </row>
    <row r="18">
      <c r="B18" s="10" t="inlineStr">
        <is>
          <t>Teks biru</t>
        </is>
      </c>
      <c r="C18" s="11" t="inlineStr">
        <is>
          <t>Sel input: boleh Anda ubah (tidak terkunci).</t>
        </is>
      </c>
    </row>
    <row r="19">
      <c r="B19" s="12" t="inlineStr">
        <is>
          <t>Sel kuning</t>
        </is>
      </c>
      <c r="C19" s="11" t="inlineStr">
        <is>
          <t>Parameter kunci: periksa terlebih dulu.</t>
        </is>
      </c>
    </row>
    <row r="20">
      <c r="B20" s="11" t="inlineStr">
        <is>
          <t>Teks hitam</t>
        </is>
      </c>
      <c r="C20" s="11" t="inlineStr">
        <is>
          <t>Rumus otomatis (terkunci; Review &gt; Unprotect Sheet tanpa kata sandi bila perlu).</t>
        </is>
      </c>
    </row>
    <row r="22">
      <c r="B22" s="6" t="inlineStr">
        <is>
          <t>Catatan</t>
        </is>
      </c>
      <c r="C22" s="7" t="n"/>
    </row>
    <row r="23" ht="16" customHeight="1">
      <c r="C23" s="9" t="inlineStr">
        <is>
          <t>• Seluruh data adalah simulasi buatan, bukan data perusahaan nyata.</t>
        </is>
      </c>
    </row>
    <row r="24" ht="30" customHeight="1">
      <c r="C24" s="9" t="inlineStr">
        <is>
          <t>• Hasil perhitungan adalah alat bantu; verifikasi dengan akuntan/konsultan sebelum dipakai untuk keputusan atau pelaporan resmi.</t>
        </is>
      </c>
    </row>
    <row r="25" ht="30" customHeight="1">
      <c r="C25" s="9" t="inlineStr">
        <is>
          <t>• Perhitungan memakai konvensi bunga bulanan = bunga tahunan ÷ 12. Bank dapat memakai konvensi hari berbeda; selisih kecil mungkin muncul.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</cols>
  <sheetData>
    <row r="1" ht="24" customHeight="1">
      <c r="A1" s="13" t="inlineStr">
        <is>
          <t>Kalkulator Pinjaman &amp; Amortisasi</t>
        </is>
      </c>
    </row>
    <row r="2">
      <c r="A2" s="14" t="inlineStr">
        <is>
          <t>Isi sel kuning/biru; jadwal terisi otomatis.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A5" s="8" t="inlineStr">
        <is>
          <t>Jumlah pinjaman (Rp)</t>
        </is>
      </c>
      <c r="C5" s="16" t="n">
        <v>500000000</v>
      </c>
      <c r="E5" s="8" t="inlineStr">
        <is>
          <t>Angsuran bulanan (Rp)</t>
        </is>
      </c>
      <c r="G5" s="17">
        <f>IF($C$9="Flat",$C$5/$C$7+$C$5*$C$6/12,IF($C$6=0,$C$5/$C$7,-PMT($C$6/12,$C$7,$C$5)))</f>
        <v/>
      </c>
      <c r="H5" s="18">
        <f>IF($C$7&gt;60,"Tenor melebihi kapasitas tabel (60 bulan)","")</f>
        <v/>
      </c>
    </row>
    <row r="6">
      <c r="A6" s="8" t="inlineStr">
        <is>
          <t>Bunga per tahun</t>
        </is>
      </c>
      <c r="C6" s="19" t="n">
        <v>0.11</v>
      </c>
      <c r="E6" s="8" t="inlineStr">
        <is>
          <t>Total bunga (Rp)</t>
        </is>
      </c>
      <c r="G6" s="17">
        <f>SUM(D18:D77)</f>
        <v/>
      </c>
    </row>
    <row r="7">
      <c r="A7" s="8" t="inlineStr">
        <is>
          <t>Tenor (bulan)</t>
        </is>
      </c>
      <c r="C7" s="20" t="n">
        <v>36</v>
      </c>
      <c r="E7" s="8" t="inlineStr">
        <is>
          <t>Total pembayaran (Rp)</t>
        </is>
      </c>
      <c r="G7" s="17">
        <f>SUM(G18:G77)</f>
        <v/>
      </c>
    </row>
    <row r="8">
      <c r="A8" s="8" t="inlineStr">
        <is>
          <t>Tanggal pencairan</t>
        </is>
      </c>
      <c r="C8" s="21" t="n">
        <v>46327</v>
      </c>
      <c r="E8" s="8" t="inlineStr">
        <is>
          <t>Jumlah bulan pembayaran</t>
        </is>
      </c>
      <c r="G8" s="22">
        <f>COUNTIF(G18:G77,"&gt;0.005")</f>
        <v/>
      </c>
    </row>
    <row r="9">
      <c r="A9" s="8" t="inlineStr">
        <is>
          <t>Metode bunga</t>
        </is>
      </c>
      <c r="C9" s="23" t="inlineStr">
        <is>
          <t>Anuitas</t>
        </is>
      </c>
      <c r="E9" s="8" t="inlineStr">
        <is>
          <t>Tanggal lunas</t>
        </is>
      </c>
      <c r="G9" s="24">
        <f>IFERROR(INDEX(B18:B77,G8),"")</f>
        <v/>
      </c>
    </row>
    <row r="16" ht="30" customHeight="1">
      <c r="A16" s="25" t="inlineStr">
        <is>
          <t>No</t>
        </is>
      </c>
      <c r="B16" s="25" t="inlineStr">
        <is>
          <t>Tanggal</t>
        </is>
      </c>
      <c r="C16" s="25" t="inlineStr">
        <is>
          <t>Saldo Awal (Rp)</t>
        </is>
      </c>
      <c r="D16" s="25" t="inlineStr">
        <is>
          <t>Bunga (Rp)</t>
        </is>
      </c>
      <c r="E16" s="25" t="inlineStr">
        <is>
          <t>Pokok (Rp)</t>
        </is>
      </c>
      <c r="F16" s="25" t="inlineStr">
        <is>
          <t>Tambahan (Rp)</t>
        </is>
      </c>
      <c r="G16" s="25" t="inlineStr">
        <is>
          <t>Total Bayar (Rp)</t>
        </is>
      </c>
      <c r="H16" s="25" t="inlineStr">
        <is>
          <t>Saldo Akhir (Rp)</t>
        </is>
      </c>
    </row>
    <row r="17">
      <c r="A17" s="26" t="n">
        <v>0</v>
      </c>
      <c r="B17" s="27">
        <f>C8</f>
        <v/>
      </c>
      <c r="C17" s="28" t="n"/>
      <c r="D17" s="28" t="n"/>
      <c r="E17" s="28" t="n"/>
      <c r="F17" s="28" t="n"/>
      <c r="G17" s="28" t="n"/>
      <c r="H17" s="29">
        <f>C5</f>
        <v/>
      </c>
    </row>
    <row r="18">
      <c r="A18" s="26" t="n">
        <v>1</v>
      </c>
      <c r="B18" s="27">
        <f>IF(A18&gt;$C$7,"",EDATE($C$8,A18))</f>
        <v/>
      </c>
      <c r="C18" s="29">
        <f>H17</f>
        <v/>
      </c>
      <c r="D18" s="29">
        <f>IF(OR(A18&gt;$C$7,C18&lt;=0.005),0,IF($C$9="Flat",$C$5*$C$6/12,C18*$C$6/12))</f>
        <v/>
      </c>
      <c r="E18" s="29">
        <f>IF(OR(A18&gt;$C$7,C18&lt;=0.005),0,IF(A18=$C$7,C18,IF($C$9="Flat",MIN(C18,$C$5/$C$7),MIN(C18,$G$5-D18))))</f>
        <v/>
      </c>
      <c r="F18" s="29" t="n">
        <v>0</v>
      </c>
      <c r="G18" s="30">
        <f>D18+E18+F18</f>
        <v/>
      </c>
      <c r="H18" s="29">
        <f>C18-E18-F18</f>
        <v/>
      </c>
    </row>
    <row r="19">
      <c r="A19" s="26" t="n">
        <v>2</v>
      </c>
      <c r="B19" s="27">
        <f>IF(A19&gt;$C$7,"",EDATE($C$8,A19))</f>
        <v/>
      </c>
      <c r="C19" s="29">
        <f>H18</f>
        <v/>
      </c>
      <c r="D19" s="29">
        <f>IF(OR(A19&gt;$C$7,C19&lt;=0.005),0,IF($C$9="Flat",$C$5*$C$6/12,C19*$C$6/12))</f>
        <v/>
      </c>
      <c r="E19" s="29">
        <f>IF(OR(A19&gt;$C$7,C19&lt;=0.005),0,IF(A19=$C$7,C19,IF($C$9="Flat",MIN(C19,$C$5/$C$7),MIN(C19,$G$5-D19))))</f>
        <v/>
      </c>
      <c r="F19" s="29" t="n">
        <v>0</v>
      </c>
      <c r="G19" s="30">
        <f>D19+E19+F19</f>
        <v/>
      </c>
      <c r="H19" s="29">
        <f>C19-E19-F19</f>
        <v/>
      </c>
    </row>
    <row r="20">
      <c r="A20" s="26" t="n">
        <v>3</v>
      </c>
      <c r="B20" s="27">
        <f>IF(A20&gt;$C$7,"",EDATE($C$8,A20))</f>
        <v/>
      </c>
      <c r="C20" s="29">
        <f>H19</f>
        <v/>
      </c>
      <c r="D20" s="29">
        <f>IF(OR(A20&gt;$C$7,C20&lt;=0.005),0,IF($C$9="Flat",$C$5*$C$6/12,C20*$C$6/12))</f>
        <v/>
      </c>
      <c r="E20" s="29">
        <f>IF(OR(A20&gt;$C$7,C20&lt;=0.005),0,IF(A20=$C$7,C20,IF($C$9="Flat",MIN(C20,$C$5/$C$7),MIN(C20,$G$5-D20))))</f>
        <v/>
      </c>
      <c r="F20" s="29" t="n">
        <v>0</v>
      </c>
      <c r="G20" s="30">
        <f>D20+E20+F20</f>
        <v/>
      </c>
      <c r="H20" s="29">
        <f>C20-E20-F20</f>
        <v/>
      </c>
    </row>
    <row r="21">
      <c r="A21" s="26" t="n">
        <v>4</v>
      </c>
      <c r="B21" s="27">
        <f>IF(A21&gt;$C$7,"",EDATE($C$8,A21))</f>
        <v/>
      </c>
      <c r="C21" s="29">
        <f>H20</f>
        <v/>
      </c>
      <c r="D21" s="29">
        <f>IF(OR(A21&gt;$C$7,C21&lt;=0.005),0,IF($C$9="Flat",$C$5*$C$6/12,C21*$C$6/12))</f>
        <v/>
      </c>
      <c r="E21" s="29">
        <f>IF(OR(A21&gt;$C$7,C21&lt;=0.005),0,IF(A21=$C$7,C21,IF($C$9="Flat",MIN(C21,$C$5/$C$7),MIN(C21,$G$5-D21))))</f>
        <v/>
      </c>
      <c r="F21" s="29" t="n">
        <v>0</v>
      </c>
      <c r="G21" s="30">
        <f>D21+E21+F21</f>
        <v/>
      </c>
      <c r="H21" s="29">
        <f>C21-E21-F21</f>
        <v/>
      </c>
    </row>
    <row r="22">
      <c r="A22" s="26" t="n">
        <v>5</v>
      </c>
      <c r="B22" s="27">
        <f>IF(A22&gt;$C$7,"",EDATE($C$8,A22))</f>
        <v/>
      </c>
      <c r="C22" s="29">
        <f>H21</f>
        <v/>
      </c>
      <c r="D22" s="29">
        <f>IF(OR(A22&gt;$C$7,C22&lt;=0.005),0,IF($C$9="Flat",$C$5*$C$6/12,C22*$C$6/12))</f>
        <v/>
      </c>
      <c r="E22" s="29">
        <f>IF(OR(A22&gt;$C$7,C22&lt;=0.005),0,IF(A22=$C$7,C22,IF($C$9="Flat",MIN(C22,$C$5/$C$7),MIN(C22,$G$5-D22))))</f>
        <v/>
      </c>
      <c r="F22" s="29" t="n">
        <v>0</v>
      </c>
      <c r="G22" s="30">
        <f>D22+E22+F22</f>
        <v/>
      </c>
      <c r="H22" s="29">
        <f>C22-E22-F22</f>
        <v/>
      </c>
    </row>
    <row r="23">
      <c r="A23" s="26" t="n">
        <v>6</v>
      </c>
      <c r="B23" s="27">
        <f>IF(A23&gt;$C$7,"",EDATE($C$8,A23))</f>
        <v/>
      </c>
      <c r="C23" s="29">
        <f>H22</f>
        <v/>
      </c>
      <c r="D23" s="29">
        <f>IF(OR(A23&gt;$C$7,C23&lt;=0.005),0,IF($C$9="Flat",$C$5*$C$6/12,C23*$C$6/12))</f>
        <v/>
      </c>
      <c r="E23" s="29">
        <f>IF(OR(A23&gt;$C$7,C23&lt;=0.005),0,IF(A23=$C$7,C23,IF($C$9="Flat",MIN(C23,$C$5/$C$7),MIN(C23,$G$5-D23))))</f>
        <v/>
      </c>
      <c r="F23" s="29" t="n">
        <v>0</v>
      </c>
      <c r="G23" s="30">
        <f>D23+E23+F23</f>
        <v/>
      </c>
      <c r="H23" s="29">
        <f>C23-E23-F23</f>
        <v/>
      </c>
    </row>
    <row r="24">
      <c r="A24" s="26" t="n">
        <v>7</v>
      </c>
      <c r="B24" s="27">
        <f>IF(A24&gt;$C$7,"",EDATE($C$8,A24))</f>
        <v/>
      </c>
      <c r="C24" s="29">
        <f>H23</f>
        <v/>
      </c>
      <c r="D24" s="29">
        <f>IF(OR(A24&gt;$C$7,C24&lt;=0.005),0,IF($C$9="Flat",$C$5*$C$6/12,C24*$C$6/12))</f>
        <v/>
      </c>
      <c r="E24" s="29">
        <f>IF(OR(A24&gt;$C$7,C24&lt;=0.005),0,IF(A24=$C$7,C24,IF($C$9="Flat",MIN(C24,$C$5/$C$7),MIN(C24,$G$5-D24))))</f>
        <v/>
      </c>
      <c r="F24" s="29" t="n">
        <v>0</v>
      </c>
      <c r="G24" s="30">
        <f>D24+E24+F24</f>
        <v/>
      </c>
      <c r="H24" s="29">
        <f>C24-E24-F24</f>
        <v/>
      </c>
    </row>
    <row r="25">
      <c r="A25" s="26" t="n">
        <v>8</v>
      </c>
      <c r="B25" s="27">
        <f>IF(A25&gt;$C$7,"",EDATE($C$8,A25))</f>
        <v/>
      </c>
      <c r="C25" s="29">
        <f>H24</f>
        <v/>
      </c>
      <c r="D25" s="29">
        <f>IF(OR(A25&gt;$C$7,C25&lt;=0.005),0,IF($C$9="Flat",$C$5*$C$6/12,C25*$C$6/12))</f>
        <v/>
      </c>
      <c r="E25" s="29">
        <f>IF(OR(A25&gt;$C$7,C25&lt;=0.005),0,IF(A25=$C$7,C25,IF($C$9="Flat",MIN(C25,$C$5/$C$7),MIN(C25,$G$5-D25))))</f>
        <v/>
      </c>
      <c r="F25" s="29" t="n">
        <v>0</v>
      </c>
      <c r="G25" s="30">
        <f>D25+E25+F25</f>
        <v/>
      </c>
      <c r="H25" s="29">
        <f>C25-E25-F25</f>
        <v/>
      </c>
    </row>
    <row r="26">
      <c r="A26" s="26" t="n">
        <v>9</v>
      </c>
      <c r="B26" s="27">
        <f>IF(A26&gt;$C$7,"",EDATE($C$8,A26))</f>
        <v/>
      </c>
      <c r="C26" s="29">
        <f>H25</f>
        <v/>
      </c>
      <c r="D26" s="29">
        <f>IF(OR(A26&gt;$C$7,C26&lt;=0.005),0,IF($C$9="Flat",$C$5*$C$6/12,C26*$C$6/12))</f>
        <v/>
      </c>
      <c r="E26" s="29">
        <f>IF(OR(A26&gt;$C$7,C26&lt;=0.005),0,IF(A26=$C$7,C26,IF($C$9="Flat",MIN(C26,$C$5/$C$7),MIN(C26,$G$5-D26))))</f>
        <v/>
      </c>
      <c r="F26" s="29" t="n">
        <v>0</v>
      </c>
      <c r="G26" s="30">
        <f>D26+E26+F26</f>
        <v/>
      </c>
      <c r="H26" s="29">
        <f>C26-E26-F26</f>
        <v/>
      </c>
    </row>
    <row r="27">
      <c r="A27" s="26" t="n">
        <v>10</v>
      </c>
      <c r="B27" s="27">
        <f>IF(A27&gt;$C$7,"",EDATE($C$8,A27))</f>
        <v/>
      </c>
      <c r="C27" s="29">
        <f>H26</f>
        <v/>
      </c>
      <c r="D27" s="29">
        <f>IF(OR(A27&gt;$C$7,C27&lt;=0.005),0,IF($C$9="Flat",$C$5*$C$6/12,C27*$C$6/12))</f>
        <v/>
      </c>
      <c r="E27" s="29">
        <f>IF(OR(A27&gt;$C$7,C27&lt;=0.005),0,IF(A27=$C$7,C27,IF($C$9="Flat",MIN(C27,$C$5/$C$7),MIN(C27,$G$5-D27))))</f>
        <v/>
      </c>
      <c r="F27" s="29" t="n">
        <v>0</v>
      </c>
      <c r="G27" s="30">
        <f>D27+E27+F27</f>
        <v/>
      </c>
      <c r="H27" s="29">
        <f>C27-E27-F27</f>
        <v/>
      </c>
    </row>
    <row r="28">
      <c r="A28" s="26" t="n">
        <v>11</v>
      </c>
      <c r="B28" s="27">
        <f>IF(A28&gt;$C$7,"",EDATE($C$8,A28))</f>
        <v/>
      </c>
      <c r="C28" s="29">
        <f>H27</f>
        <v/>
      </c>
      <c r="D28" s="29">
        <f>IF(OR(A28&gt;$C$7,C28&lt;=0.005),0,IF($C$9="Flat",$C$5*$C$6/12,C28*$C$6/12))</f>
        <v/>
      </c>
      <c r="E28" s="29">
        <f>IF(OR(A28&gt;$C$7,C28&lt;=0.005),0,IF(A28=$C$7,C28,IF($C$9="Flat",MIN(C28,$C$5/$C$7),MIN(C28,$G$5-D28))))</f>
        <v/>
      </c>
      <c r="F28" s="29" t="n">
        <v>0</v>
      </c>
      <c r="G28" s="30">
        <f>D28+E28+F28</f>
        <v/>
      </c>
      <c r="H28" s="29">
        <f>C28-E28-F28</f>
        <v/>
      </c>
    </row>
    <row r="29">
      <c r="A29" s="26" t="n">
        <v>12</v>
      </c>
      <c r="B29" s="27">
        <f>IF(A29&gt;$C$7,"",EDATE($C$8,A29))</f>
        <v/>
      </c>
      <c r="C29" s="29">
        <f>H28</f>
        <v/>
      </c>
      <c r="D29" s="29">
        <f>IF(OR(A29&gt;$C$7,C29&lt;=0.005),0,IF($C$9="Flat",$C$5*$C$6/12,C29*$C$6/12))</f>
        <v/>
      </c>
      <c r="E29" s="29">
        <f>IF(OR(A29&gt;$C$7,C29&lt;=0.005),0,IF(A29=$C$7,C29,IF($C$9="Flat",MIN(C29,$C$5/$C$7),MIN(C29,$G$5-D29))))</f>
        <v/>
      </c>
      <c r="F29" s="29" t="n">
        <v>0</v>
      </c>
      <c r="G29" s="30">
        <f>D29+E29+F29</f>
        <v/>
      </c>
      <c r="H29" s="29">
        <f>C29-E29-F29</f>
        <v/>
      </c>
    </row>
    <row r="30">
      <c r="A30" s="26" t="n">
        <v>13</v>
      </c>
      <c r="B30" s="27">
        <f>IF(A30&gt;$C$7,"",EDATE($C$8,A30))</f>
        <v/>
      </c>
      <c r="C30" s="29">
        <f>H29</f>
        <v/>
      </c>
      <c r="D30" s="29">
        <f>IF(OR(A30&gt;$C$7,C30&lt;=0.005),0,IF($C$9="Flat",$C$5*$C$6/12,C30*$C$6/12))</f>
        <v/>
      </c>
      <c r="E30" s="29">
        <f>IF(OR(A30&gt;$C$7,C30&lt;=0.005),0,IF(A30=$C$7,C30,IF($C$9="Flat",MIN(C30,$C$5/$C$7),MIN(C30,$G$5-D30))))</f>
        <v/>
      </c>
      <c r="F30" s="29" t="n">
        <v>0</v>
      </c>
      <c r="G30" s="30">
        <f>D30+E30+F30</f>
        <v/>
      </c>
      <c r="H30" s="29">
        <f>C30-E30-F30</f>
        <v/>
      </c>
    </row>
    <row r="31">
      <c r="A31" s="26" t="n">
        <v>14</v>
      </c>
      <c r="B31" s="27">
        <f>IF(A31&gt;$C$7,"",EDATE($C$8,A31))</f>
        <v/>
      </c>
      <c r="C31" s="29">
        <f>H30</f>
        <v/>
      </c>
      <c r="D31" s="29">
        <f>IF(OR(A31&gt;$C$7,C31&lt;=0.005),0,IF($C$9="Flat",$C$5*$C$6/12,C31*$C$6/12))</f>
        <v/>
      </c>
      <c r="E31" s="29">
        <f>IF(OR(A31&gt;$C$7,C31&lt;=0.005),0,IF(A31=$C$7,C31,IF($C$9="Flat",MIN(C31,$C$5/$C$7),MIN(C31,$G$5-D31))))</f>
        <v/>
      </c>
      <c r="F31" s="29" t="n">
        <v>0</v>
      </c>
      <c r="G31" s="30">
        <f>D31+E31+F31</f>
        <v/>
      </c>
      <c r="H31" s="29">
        <f>C31-E31-F31</f>
        <v/>
      </c>
    </row>
    <row r="32">
      <c r="A32" s="26" t="n">
        <v>15</v>
      </c>
      <c r="B32" s="27">
        <f>IF(A32&gt;$C$7,"",EDATE($C$8,A32))</f>
        <v/>
      </c>
      <c r="C32" s="29">
        <f>H31</f>
        <v/>
      </c>
      <c r="D32" s="29">
        <f>IF(OR(A32&gt;$C$7,C32&lt;=0.005),0,IF($C$9="Flat",$C$5*$C$6/12,C32*$C$6/12))</f>
        <v/>
      </c>
      <c r="E32" s="29">
        <f>IF(OR(A32&gt;$C$7,C32&lt;=0.005),0,IF(A32=$C$7,C32,IF($C$9="Flat",MIN(C32,$C$5/$C$7),MIN(C32,$G$5-D32))))</f>
        <v/>
      </c>
      <c r="F32" s="29" t="n">
        <v>0</v>
      </c>
      <c r="G32" s="30">
        <f>D32+E32+F32</f>
        <v/>
      </c>
      <c r="H32" s="29">
        <f>C32-E32-F32</f>
        <v/>
      </c>
    </row>
    <row r="33">
      <c r="A33" s="26" t="n">
        <v>16</v>
      </c>
      <c r="B33" s="27">
        <f>IF(A33&gt;$C$7,"",EDATE($C$8,A33))</f>
        <v/>
      </c>
      <c r="C33" s="29">
        <f>H32</f>
        <v/>
      </c>
      <c r="D33" s="29">
        <f>IF(OR(A33&gt;$C$7,C33&lt;=0.005),0,IF($C$9="Flat",$C$5*$C$6/12,C33*$C$6/12))</f>
        <v/>
      </c>
      <c r="E33" s="29">
        <f>IF(OR(A33&gt;$C$7,C33&lt;=0.005),0,IF(A33=$C$7,C33,IF($C$9="Flat",MIN(C33,$C$5/$C$7),MIN(C33,$G$5-D33))))</f>
        <v/>
      </c>
      <c r="F33" s="29" t="n">
        <v>0</v>
      </c>
      <c r="G33" s="30">
        <f>D33+E33+F33</f>
        <v/>
      </c>
      <c r="H33" s="29">
        <f>C33-E33-F33</f>
        <v/>
      </c>
    </row>
    <row r="34">
      <c r="A34" s="26" t="n">
        <v>17</v>
      </c>
      <c r="B34" s="27">
        <f>IF(A34&gt;$C$7,"",EDATE($C$8,A34))</f>
        <v/>
      </c>
      <c r="C34" s="29">
        <f>H33</f>
        <v/>
      </c>
      <c r="D34" s="29">
        <f>IF(OR(A34&gt;$C$7,C34&lt;=0.005),0,IF($C$9="Flat",$C$5*$C$6/12,C34*$C$6/12))</f>
        <v/>
      </c>
      <c r="E34" s="29">
        <f>IF(OR(A34&gt;$C$7,C34&lt;=0.005),0,IF(A34=$C$7,C34,IF($C$9="Flat",MIN(C34,$C$5/$C$7),MIN(C34,$G$5-D34))))</f>
        <v/>
      </c>
      <c r="F34" s="29" t="n">
        <v>0</v>
      </c>
      <c r="G34" s="30">
        <f>D34+E34+F34</f>
        <v/>
      </c>
      <c r="H34" s="29">
        <f>C34-E34-F34</f>
        <v/>
      </c>
    </row>
    <row r="35">
      <c r="A35" s="26" t="n">
        <v>18</v>
      </c>
      <c r="B35" s="27">
        <f>IF(A35&gt;$C$7,"",EDATE($C$8,A35))</f>
        <v/>
      </c>
      <c r="C35" s="29">
        <f>H34</f>
        <v/>
      </c>
      <c r="D35" s="29">
        <f>IF(OR(A35&gt;$C$7,C35&lt;=0.005),0,IF($C$9="Flat",$C$5*$C$6/12,C35*$C$6/12))</f>
        <v/>
      </c>
      <c r="E35" s="29">
        <f>IF(OR(A35&gt;$C$7,C35&lt;=0.005),0,IF(A35=$C$7,C35,IF($C$9="Flat",MIN(C35,$C$5/$C$7),MIN(C35,$G$5-D35))))</f>
        <v/>
      </c>
      <c r="F35" s="29" t="n">
        <v>0</v>
      </c>
      <c r="G35" s="30">
        <f>D35+E35+F35</f>
        <v/>
      </c>
      <c r="H35" s="29">
        <f>C35-E35-F35</f>
        <v/>
      </c>
    </row>
    <row r="36">
      <c r="A36" s="26" t="n">
        <v>19</v>
      </c>
      <c r="B36" s="27">
        <f>IF(A36&gt;$C$7,"",EDATE($C$8,A36))</f>
        <v/>
      </c>
      <c r="C36" s="29">
        <f>H35</f>
        <v/>
      </c>
      <c r="D36" s="29">
        <f>IF(OR(A36&gt;$C$7,C36&lt;=0.005),0,IF($C$9="Flat",$C$5*$C$6/12,C36*$C$6/12))</f>
        <v/>
      </c>
      <c r="E36" s="29">
        <f>IF(OR(A36&gt;$C$7,C36&lt;=0.005),0,IF(A36=$C$7,C36,IF($C$9="Flat",MIN(C36,$C$5/$C$7),MIN(C36,$G$5-D36))))</f>
        <v/>
      </c>
      <c r="F36" s="29" t="n">
        <v>0</v>
      </c>
      <c r="G36" s="30">
        <f>D36+E36+F36</f>
        <v/>
      </c>
      <c r="H36" s="29">
        <f>C36-E36-F36</f>
        <v/>
      </c>
    </row>
    <row r="37">
      <c r="A37" s="26" t="n">
        <v>20</v>
      </c>
      <c r="B37" s="27">
        <f>IF(A37&gt;$C$7,"",EDATE($C$8,A37))</f>
        <v/>
      </c>
      <c r="C37" s="29">
        <f>H36</f>
        <v/>
      </c>
      <c r="D37" s="29">
        <f>IF(OR(A37&gt;$C$7,C37&lt;=0.005),0,IF($C$9="Flat",$C$5*$C$6/12,C37*$C$6/12))</f>
        <v/>
      </c>
      <c r="E37" s="29">
        <f>IF(OR(A37&gt;$C$7,C37&lt;=0.005),0,IF(A37=$C$7,C37,IF($C$9="Flat",MIN(C37,$C$5/$C$7),MIN(C37,$G$5-D37))))</f>
        <v/>
      </c>
      <c r="F37" s="29" t="n">
        <v>0</v>
      </c>
      <c r="G37" s="30">
        <f>D37+E37+F37</f>
        <v/>
      </c>
      <c r="H37" s="29">
        <f>C37-E37-F37</f>
        <v/>
      </c>
    </row>
    <row r="38">
      <c r="A38" s="26" t="n">
        <v>21</v>
      </c>
      <c r="B38" s="27">
        <f>IF(A38&gt;$C$7,"",EDATE($C$8,A38))</f>
        <v/>
      </c>
      <c r="C38" s="29">
        <f>H37</f>
        <v/>
      </c>
      <c r="D38" s="29">
        <f>IF(OR(A38&gt;$C$7,C38&lt;=0.005),0,IF($C$9="Flat",$C$5*$C$6/12,C38*$C$6/12))</f>
        <v/>
      </c>
      <c r="E38" s="29">
        <f>IF(OR(A38&gt;$C$7,C38&lt;=0.005),0,IF(A38=$C$7,C38,IF($C$9="Flat",MIN(C38,$C$5/$C$7),MIN(C38,$G$5-D38))))</f>
        <v/>
      </c>
      <c r="F38" s="29" t="n">
        <v>0</v>
      </c>
      <c r="G38" s="30">
        <f>D38+E38+F38</f>
        <v/>
      </c>
      <c r="H38" s="29">
        <f>C38-E38-F38</f>
        <v/>
      </c>
    </row>
    <row r="39">
      <c r="A39" s="26" t="n">
        <v>22</v>
      </c>
      <c r="B39" s="27">
        <f>IF(A39&gt;$C$7,"",EDATE($C$8,A39))</f>
        <v/>
      </c>
      <c r="C39" s="29">
        <f>H38</f>
        <v/>
      </c>
      <c r="D39" s="29">
        <f>IF(OR(A39&gt;$C$7,C39&lt;=0.005),0,IF($C$9="Flat",$C$5*$C$6/12,C39*$C$6/12))</f>
        <v/>
      </c>
      <c r="E39" s="29">
        <f>IF(OR(A39&gt;$C$7,C39&lt;=0.005),0,IF(A39=$C$7,C39,IF($C$9="Flat",MIN(C39,$C$5/$C$7),MIN(C39,$G$5-D39))))</f>
        <v/>
      </c>
      <c r="F39" s="29" t="n">
        <v>0</v>
      </c>
      <c r="G39" s="30">
        <f>D39+E39+F39</f>
        <v/>
      </c>
      <c r="H39" s="29">
        <f>C39-E39-F39</f>
        <v/>
      </c>
    </row>
    <row r="40">
      <c r="A40" s="26" t="n">
        <v>23</v>
      </c>
      <c r="B40" s="27">
        <f>IF(A40&gt;$C$7,"",EDATE($C$8,A40))</f>
        <v/>
      </c>
      <c r="C40" s="29">
        <f>H39</f>
        <v/>
      </c>
      <c r="D40" s="29">
        <f>IF(OR(A40&gt;$C$7,C40&lt;=0.005),0,IF($C$9="Flat",$C$5*$C$6/12,C40*$C$6/12))</f>
        <v/>
      </c>
      <c r="E40" s="29">
        <f>IF(OR(A40&gt;$C$7,C40&lt;=0.005),0,IF(A40=$C$7,C40,IF($C$9="Flat",MIN(C40,$C$5/$C$7),MIN(C40,$G$5-D40))))</f>
        <v/>
      </c>
      <c r="F40" s="29" t="n">
        <v>0</v>
      </c>
      <c r="G40" s="30">
        <f>D40+E40+F40</f>
        <v/>
      </c>
      <c r="H40" s="29">
        <f>C40-E40-F40</f>
        <v/>
      </c>
    </row>
    <row r="41">
      <c r="A41" s="26" t="n">
        <v>24</v>
      </c>
      <c r="B41" s="27">
        <f>IF(A41&gt;$C$7,"",EDATE($C$8,A41))</f>
        <v/>
      </c>
      <c r="C41" s="29">
        <f>H40</f>
        <v/>
      </c>
      <c r="D41" s="29">
        <f>IF(OR(A41&gt;$C$7,C41&lt;=0.005),0,IF($C$9="Flat",$C$5*$C$6/12,C41*$C$6/12))</f>
        <v/>
      </c>
      <c r="E41" s="29">
        <f>IF(OR(A41&gt;$C$7,C41&lt;=0.005),0,IF(A41=$C$7,C41,IF($C$9="Flat",MIN(C41,$C$5/$C$7),MIN(C41,$G$5-D41))))</f>
        <v/>
      </c>
      <c r="F41" s="29" t="n">
        <v>0</v>
      </c>
      <c r="G41" s="30">
        <f>D41+E41+F41</f>
        <v/>
      </c>
      <c r="H41" s="29">
        <f>C41-E41-F41</f>
        <v/>
      </c>
    </row>
    <row r="42">
      <c r="A42" s="26" t="n">
        <v>25</v>
      </c>
      <c r="B42" s="27">
        <f>IF(A42&gt;$C$7,"",EDATE($C$8,A42))</f>
        <v/>
      </c>
      <c r="C42" s="29">
        <f>H41</f>
        <v/>
      </c>
      <c r="D42" s="29">
        <f>IF(OR(A42&gt;$C$7,C42&lt;=0.005),0,IF($C$9="Flat",$C$5*$C$6/12,C42*$C$6/12))</f>
        <v/>
      </c>
      <c r="E42" s="29">
        <f>IF(OR(A42&gt;$C$7,C42&lt;=0.005),0,IF(A42=$C$7,C42,IF($C$9="Flat",MIN(C42,$C$5/$C$7),MIN(C42,$G$5-D42))))</f>
        <v/>
      </c>
      <c r="F42" s="29" t="n">
        <v>0</v>
      </c>
      <c r="G42" s="30">
        <f>D42+E42+F42</f>
        <v/>
      </c>
      <c r="H42" s="29">
        <f>C42-E42-F42</f>
        <v/>
      </c>
    </row>
    <row r="43">
      <c r="A43" s="26" t="n">
        <v>26</v>
      </c>
      <c r="B43" s="27">
        <f>IF(A43&gt;$C$7,"",EDATE($C$8,A43))</f>
        <v/>
      </c>
      <c r="C43" s="29">
        <f>H42</f>
        <v/>
      </c>
      <c r="D43" s="29">
        <f>IF(OR(A43&gt;$C$7,C43&lt;=0.005),0,IF($C$9="Flat",$C$5*$C$6/12,C43*$C$6/12))</f>
        <v/>
      </c>
      <c r="E43" s="29">
        <f>IF(OR(A43&gt;$C$7,C43&lt;=0.005),0,IF(A43=$C$7,C43,IF($C$9="Flat",MIN(C43,$C$5/$C$7),MIN(C43,$G$5-D43))))</f>
        <v/>
      </c>
      <c r="F43" s="29" t="n">
        <v>0</v>
      </c>
      <c r="G43" s="30">
        <f>D43+E43+F43</f>
        <v/>
      </c>
      <c r="H43" s="29">
        <f>C43-E43-F43</f>
        <v/>
      </c>
    </row>
    <row r="44">
      <c r="A44" s="26" t="n">
        <v>27</v>
      </c>
      <c r="B44" s="27">
        <f>IF(A44&gt;$C$7,"",EDATE($C$8,A44))</f>
        <v/>
      </c>
      <c r="C44" s="29">
        <f>H43</f>
        <v/>
      </c>
      <c r="D44" s="29">
        <f>IF(OR(A44&gt;$C$7,C44&lt;=0.005),0,IF($C$9="Flat",$C$5*$C$6/12,C44*$C$6/12))</f>
        <v/>
      </c>
      <c r="E44" s="29">
        <f>IF(OR(A44&gt;$C$7,C44&lt;=0.005),0,IF(A44=$C$7,C44,IF($C$9="Flat",MIN(C44,$C$5/$C$7),MIN(C44,$G$5-D44))))</f>
        <v/>
      </c>
      <c r="F44" s="29" t="n">
        <v>0</v>
      </c>
      <c r="G44" s="30">
        <f>D44+E44+F44</f>
        <v/>
      </c>
      <c r="H44" s="29">
        <f>C44-E44-F44</f>
        <v/>
      </c>
    </row>
    <row r="45">
      <c r="A45" s="26" t="n">
        <v>28</v>
      </c>
      <c r="B45" s="27">
        <f>IF(A45&gt;$C$7,"",EDATE($C$8,A45))</f>
        <v/>
      </c>
      <c r="C45" s="29">
        <f>H44</f>
        <v/>
      </c>
      <c r="D45" s="29">
        <f>IF(OR(A45&gt;$C$7,C45&lt;=0.005),0,IF($C$9="Flat",$C$5*$C$6/12,C45*$C$6/12))</f>
        <v/>
      </c>
      <c r="E45" s="29">
        <f>IF(OR(A45&gt;$C$7,C45&lt;=0.005),0,IF(A45=$C$7,C45,IF($C$9="Flat",MIN(C45,$C$5/$C$7),MIN(C45,$G$5-D45))))</f>
        <v/>
      </c>
      <c r="F45" s="29" t="n">
        <v>0</v>
      </c>
      <c r="G45" s="30">
        <f>D45+E45+F45</f>
        <v/>
      </c>
      <c r="H45" s="29">
        <f>C45-E45-F45</f>
        <v/>
      </c>
    </row>
    <row r="46">
      <c r="A46" s="26" t="n">
        <v>29</v>
      </c>
      <c r="B46" s="27">
        <f>IF(A46&gt;$C$7,"",EDATE($C$8,A46))</f>
        <v/>
      </c>
      <c r="C46" s="29">
        <f>H45</f>
        <v/>
      </c>
      <c r="D46" s="29">
        <f>IF(OR(A46&gt;$C$7,C46&lt;=0.005),0,IF($C$9="Flat",$C$5*$C$6/12,C46*$C$6/12))</f>
        <v/>
      </c>
      <c r="E46" s="29">
        <f>IF(OR(A46&gt;$C$7,C46&lt;=0.005),0,IF(A46=$C$7,C46,IF($C$9="Flat",MIN(C46,$C$5/$C$7),MIN(C46,$G$5-D46))))</f>
        <v/>
      </c>
      <c r="F46" s="29" t="n">
        <v>0</v>
      </c>
      <c r="G46" s="30">
        <f>D46+E46+F46</f>
        <v/>
      </c>
      <c r="H46" s="29">
        <f>C46-E46-F46</f>
        <v/>
      </c>
    </row>
    <row r="47">
      <c r="A47" s="26" t="n">
        <v>30</v>
      </c>
      <c r="B47" s="27">
        <f>IF(A47&gt;$C$7,"",EDATE($C$8,A47))</f>
        <v/>
      </c>
      <c r="C47" s="29">
        <f>H46</f>
        <v/>
      </c>
      <c r="D47" s="29">
        <f>IF(OR(A47&gt;$C$7,C47&lt;=0.005),0,IF($C$9="Flat",$C$5*$C$6/12,C47*$C$6/12))</f>
        <v/>
      </c>
      <c r="E47" s="29">
        <f>IF(OR(A47&gt;$C$7,C47&lt;=0.005),0,IF(A47=$C$7,C47,IF($C$9="Flat",MIN(C47,$C$5/$C$7),MIN(C47,$G$5-D47))))</f>
        <v/>
      </c>
      <c r="F47" s="29" t="n">
        <v>0</v>
      </c>
      <c r="G47" s="30">
        <f>D47+E47+F47</f>
        <v/>
      </c>
      <c r="H47" s="29">
        <f>C47-E47-F47</f>
        <v/>
      </c>
    </row>
    <row r="48">
      <c r="A48" s="26" t="n">
        <v>31</v>
      </c>
      <c r="B48" s="27">
        <f>IF(A48&gt;$C$7,"",EDATE($C$8,A48))</f>
        <v/>
      </c>
      <c r="C48" s="29">
        <f>H47</f>
        <v/>
      </c>
      <c r="D48" s="29">
        <f>IF(OR(A48&gt;$C$7,C48&lt;=0.005),0,IF($C$9="Flat",$C$5*$C$6/12,C48*$C$6/12))</f>
        <v/>
      </c>
      <c r="E48" s="29">
        <f>IF(OR(A48&gt;$C$7,C48&lt;=0.005),0,IF(A48=$C$7,C48,IF($C$9="Flat",MIN(C48,$C$5/$C$7),MIN(C48,$G$5-D48))))</f>
        <v/>
      </c>
      <c r="F48" s="29" t="n">
        <v>0</v>
      </c>
      <c r="G48" s="30">
        <f>D48+E48+F48</f>
        <v/>
      </c>
      <c r="H48" s="29">
        <f>C48-E48-F48</f>
        <v/>
      </c>
    </row>
    <row r="49">
      <c r="A49" s="26" t="n">
        <v>32</v>
      </c>
      <c r="B49" s="27">
        <f>IF(A49&gt;$C$7,"",EDATE($C$8,A49))</f>
        <v/>
      </c>
      <c r="C49" s="29">
        <f>H48</f>
        <v/>
      </c>
      <c r="D49" s="29">
        <f>IF(OR(A49&gt;$C$7,C49&lt;=0.005),0,IF($C$9="Flat",$C$5*$C$6/12,C49*$C$6/12))</f>
        <v/>
      </c>
      <c r="E49" s="29">
        <f>IF(OR(A49&gt;$C$7,C49&lt;=0.005),0,IF(A49=$C$7,C49,IF($C$9="Flat",MIN(C49,$C$5/$C$7),MIN(C49,$G$5-D49))))</f>
        <v/>
      </c>
      <c r="F49" s="29" t="n">
        <v>0</v>
      </c>
      <c r="G49" s="30">
        <f>D49+E49+F49</f>
        <v/>
      </c>
      <c r="H49" s="29">
        <f>C49-E49-F49</f>
        <v/>
      </c>
    </row>
    <row r="50">
      <c r="A50" s="26" t="n">
        <v>33</v>
      </c>
      <c r="B50" s="27">
        <f>IF(A50&gt;$C$7,"",EDATE($C$8,A50))</f>
        <v/>
      </c>
      <c r="C50" s="29">
        <f>H49</f>
        <v/>
      </c>
      <c r="D50" s="29">
        <f>IF(OR(A50&gt;$C$7,C50&lt;=0.005),0,IF($C$9="Flat",$C$5*$C$6/12,C50*$C$6/12))</f>
        <v/>
      </c>
      <c r="E50" s="29">
        <f>IF(OR(A50&gt;$C$7,C50&lt;=0.005),0,IF(A50=$C$7,C50,IF($C$9="Flat",MIN(C50,$C$5/$C$7),MIN(C50,$G$5-D50))))</f>
        <v/>
      </c>
      <c r="F50" s="29" t="n">
        <v>0</v>
      </c>
      <c r="G50" s="30">
        <f>D50+E50+F50</f>
        <v/>
      </c>
      <c r="H50" s="29">
        <f>C50-E50-F50</f>
        <v/>
      </c>
    </row>
    <row r="51">
      <c r="A51" s="26" t="n">
        <v>34</v>
      </c>
      <c r="B51" s="27">
        <f>IF(A51&gt;$C$7,"",EDATE($C$8,A51))</f>
        <v/>
      </c>
      <c r="C51" s="29">
        <f>H50</f>
        <v/>
      </c>
      <c r="D51" s="29">
        <f>IF(OR(A51&gt;$C$7,C51&lt;=0.005),0,IF($C$9="Flat",$C$5*$C$6/12,C51*$C$6/12))</f>
        <v/>
      </c>
      <c r="E51" s="29">
        <f>IF(OR(A51&gt;$C$7,C51&lt;=0.005),0,IF(A51=$C$7,C51,IF($C$9="Flat",MIN(C51,$C$5/$C$7),MIN(C51,$G$5-D51))))</f>
        <v/>
      </c>
      <c r="F51" s="29" t="n">
        <v>0</v>
      </c>
      <c r="G51" s="30">
        <f>D51+E51+F51</f>
        <v/>
      </c>
      <c r="H51" s="29">
        <f>C51-E51-F51</f>
        <v/>
      </c>
    </row>
    <row r="52">
      <c r="A52" s="26" t="n">
        <v>35</v>
      </c>
      <c r="B52" s="27">
        <f>IF(A52&gt;$C$7,"",EDATE($C$8,A52))</f>
        <v/>
      </c>
      <c r="C52" s="29">
        <f>H51</f>
        <v/>
      </c>
      <c r="D52" s="29">
        <f>IF(OR(A52&gt;$C$7,C52&lt;=0.005),0,IF($C$9="Flat",$C$5*$C$6/12,C52*$C$6/12))</f>
        <v/>
      </c>
      <c r="E52" s="29">
        <f>IF(OR(A52&gt;$C$7,C52&lt;=0.005),0,IF(A52=$C$7,C52,IF($C$9="Flat",MIN(C52,$C$5/$C$7),MIN(C52,$G$5-D52))))</f>
        <v/>
      </c>
      <c r="F52" s="29" t="n">
        <v>0</v>
      </c>
      <c r="G52" s="30">
        <f>D52+E52+F52</f>
        <v/>
      </c>
      <c r="H52" s="29">
        <f>C52-E52-F52</f>
        <v/>
      </c>
    </row>
    <row r="53">
      <c r="A53" s="26" t="n">
        <v>36</v>
      </c>
      <c r="B53" s="27">
        <f>IF(A53&gt;$C$7,"",EDATE($C$8,A53))</f>
        <v/>
      </c>
      <c r="C53" s="29">
        <f>H52</f>
        <v/>
      </c>
      <c r="D53" s="29">
        <f>IF(OR(A53&gt;$C$7,C53&lt;=0.005),0,IF($C$9="Flat",$C$5*$C$6/12,C53*$C$6/12))</f>
        <v/>
      </c>
      <c r="E53" s="29">
        <f>IF(OR(A53&gt;$C$7,C53&lt;=0.005),0,IF(A53=$C$7,C53,IF($C$9="Flat",MIN(C53,$C$5/$C$7),MIN(C53,$G$5-D53))))</f>
        <v/>
      </c>
      <c r="F53" s="29" t="n">
        <v>0</v>
      </c>
      <c r="G53" s="30">
        <f>D53+E53+F53</f>
        <v/>
      </c>
      <c r="H53" s="29">
        <f>C53-E53-F53</f>
        <v/>
      </c>
    </row>
    <row r="54">
      <c r="A54" s="26" t="n">
        <v>37</v>
      </c>
      <c r="B54" s="27">
        <f>IF(A54&gt;$C$7,"",EDATE($C$8,A54))</f>
        <v/>
      </c>
      <c r="C54" s="29">
        <f>H53</f>
        <v/>
      </c>
      <c r="D54" s="29">
        <f>IF(OR(A54&gt;$C$7,C54&lt;=0.005),0,IF($C$9="Flat",$C$5*$C$6/12,C54*$C$6/12))</f>
        <v/>
      </c>
      <c r="E54" s="29">
        <f>IF(OR(A54&gt;$C$7,C54&lt;=0.005),0,IF(A54=$C$7,C54,IF($C$9="Flat",MIN(C54,$C$5/$C$7),MIN(C54,$G$5-D54))))</f>
        <v/>
      </c>
      <c r="F54" s="29" t="n">
        <v>0</v>
      </c>
      <c r="G54" s="30">
        <f>D54+E54+F54</f>
        <v/>
      </c>
      <c r="H54" s="29">
        <f>C54-E54-F54</f>
        <v/>
      </c>
    </row>
    <row r="55">
      <c r="A55" s="26" t="n">
        <v>38</v>
      </c>
      <c r="B55" s="27">
        <f>IF(A55&gt;$C$7,"",EDATE($C$8,A55))</f>
        <v/>
      </c>
      <c r="C55" s="29">
        <f>H54</f>
        <v/>
      </c>
      <c r="D55" s="29">
        <f>IF(OR(A55&gt;$C$7,C55&lt;=0.005),0,IF($C$9="Flat",$C$5*$C$6/12,C55*$C$6/12))</f>
        <v/>
      </c>
      <c r="E55" s="29">
        <f>IF(OR(A55&gt;$C$7,C55&lt;=0.005),0,IF(A55=$C$7,C55,IF($C$9="Flat",MIN(C55,$C$5/$C$7),MIN(C55,$G$5-D55))))</f>
        <v/>
      </c>
      <c r="F55" s="29" t="n">
        <v>0</v>
      </c>
      <c r="G55" s="30">
        <f>D55+E55+F55</f>
        <v/>
      </c>
      <c r="H55" s="29">
        <f>C55-E55-F55</f>
        <v/>
      </c>
    </row>
    <row r="56">
      <c r="A56" s="26" t="n">
        <v>39</v>
      </c>
      <c r="B56" s="27">
        <f>IF(A56&gt;$C$7,"",EDATE($C$8,A56))</f>
        <v/>
      </c>
      <c r="C56" s="29">
        <f>H55</f>
        <v/>
      </c>
      <c r="D56" s="29">
        <f>IF(OR(A56&gt;$C$7,C56&lt;=0.005),0,IF($C$9="Flat",$C$5*$C$6/12,C56*$C$6/12))</f>
        <v/>
      </c>
      <c r="E56" s="29">
        <f>IF(OR(A56&gt;$C$7,C56&lt;=0.005),0,IF(A56=$C$7,C56,IF($C$9="Flat",MIN(C56,$C$5/$C$7),MIN(C56,$G$5-D56))))</f>
        <v/>
      </c>
      <c r="F56" s="29" t="n">
        <v>0</v>
      </c>
      <c r="G56" s="30">
        <f>D56+E56+F56</f>
        <v/>
      </c>
      <c r="H56" s="29">
        <f>C56-E56-F56</f>
        <v/>
      </c>
    </row>
    <row r="57">
      <c r="A57" s="26" t="n">
        <v>40</v>
      </c>
      <c r="B57" s="27">
        <f>IF(A57&gt;$C$7,"",EDATE($C$8,A57))</f>
        <v/>
      </c>
      <c r="C57" s="29">
        <f>H56</f>
        <v/>
      </c>
      <c r="D57" s="29">
        <f>IF(OR(A57&gt;$C$7,C57&lt;=0.005),0,IF($C$9="Flat",$C$5*$C$6/12,C57*$C$6/12))</f>
        <v/>
      </c>
      <c r="E57" s="29">
        <f>IF(OR(A57&gt;$C$7,C57&lt;=0.005),0,IF(A57=$C$7,C57,IF($C$9="Flat",MIN(C57,$C$5/$C$7),MIN(C57,$G$5-D57))))</f>
        <v/>
      </c>
      <c r="F57" s="29" t="n">
        <v>0</v>
      </c>
      <c r="G57" s="30">
        <f>D57+E57+F57</f>
        <v/>
      </c>
      <c r="H57" s="29">
        <f>C57-E57-F57</f>
        <v/>
      </c>
    </row>
    <row r="58">
      <c r="A58" s="26" t="n">
        <v>41</v>
      </c>
      <c r="B58" s="27">
        <f>IF(A58&gt;$C$7,"",EDATE($C$8,A58))</f>
        <v/>
      </c>
      <c r="C58" s="29">
        <f>H57</f>
        <v/>
      </c>
      <c r="D58" s="29">
        <f>IF(OR(A58&gt;$C$7,C58&lt;=0.005),0,IF($C$9="Flat",$C$5*$C$6/12,C58*$C$6/12))</f>
        <v/>
      </c>
      <c r="E58" s="29">
        <f>IF(OR(A58&gt;$C$7,C58&lt;=0.005),0,IF(A58=$C$7,C58,IF($C$9="Flat",MIN(C58,$C$5/$C$7),MIN(C58,$G$5-D58))))</f>
        <v/>
      </c>
      <c r="F58" s="29" t="n">
        <v>0</v>
      </c>
      <c r="G58" s="30">
        <f>D58+E58+F58</f>
        <v/>
      </c>
      <c r="H58" s="29">
        <f>C58-E58-F58</f>
        <v/>
      </c>
    </row>
    <row r="59">
      <c r="A59" s="26" t="n">
        <v>42</v>
      </c>
      <c r="B59" s="27">
        <f>IF(A59&gt;$C$7,"",EDATE($C$8,A59))</f>
        <v/>
      </c>
      <c r="C59" s="29">
        <f>H58</f>
        <v/>
      </c>
      <c r="D59" s="29">
        <f>IF(OR(A59&gt;$C$7,C59&lt;=0.005),0,IF($C$9="Flat",$C$5*$C$6/12,C59*$C$6/12))</f>
        <v/>
      </c>
      <c r="E59" s="29">
        <f>IF(OR(A59&gt;$C$7,C59&lt;=0.005),0,IF(A59=$C$7,C59,IF($C$9="Flat",MIN(C59,$C$5/$C$7),MIN(C59,$G$5-D59))))</f>
        <v/>
      </c>
      <c r="F59" s="29" t="n">
        <v>0</v>
      </c>
      <c r="G59" s="30">
        <f>D59+E59+F59</f>
        <v/>
      </c>
      <c r="H59" s="29">
        <f>C59-E59-F59</f>
        <v/>
      </c>
    </row>
    <row r="60">
      <c r="A60" s="26" t="n">
        <v>43</v>
      </c>
      <c r="B60" s="27">
        <f>IF(A60&gt;$C$7,"",EDATE($C$8,A60))</f>
        <v/>
      </c>
      <c r="C60" s="29">
        <f>H59</f>
        <v/>
      </c>
      <c r="D60" s="29">
        <f>IF(OR(A60&gt;$C$7,C60&lt;=0.005),0,IF($C$9="Flat",$C$5*$C$6/12,C60*$C$6/12))</f>
        <v/>
      </c>
      <c r="E60" s="29">
        <f>IF(OR(A60&gt;$C$7,C60&lt;=0.005),0,IF(A60=$C$7,C60,IF($C$9="Flat",MIN(C60,$C$5/$C$7),MIN(C60,$G$5-D60))))</f>
        <v/>
      </c>
      <c r="F60" s="29" t="n">
        <v>0</v>
      </c>
      <c r="G60" s="30">
        <f>D60+E60+F60</f>
        <v/>
      </c>
      <c r="H60" s="29">
        <f>C60-E60-F60</f>
        <v/>
      </c>
    </row>
    <row r="61">
      <c r="A61" s="26" t="n">
        <v>44</v>
      </c>
      <c r="B61" s="27">
        <f>IF(A61&gt;$C$7,"",EDATE($C$8,A61))</f>
        <v/>
      </c>
      <c r="C61" s="29">
        <f>H60</f>
        <v/>
      </c>
      <c r="D61" s="29">
        <f>IF(OR(A61&gt;$C$7,C61&lt;=0.005),0,IF($C$9="Flat",$C$5*$C$6/12,C61*$C$6/12))</f>
        <v/>
      </c>
      <c r="E61" s="29">
        <f>IF(OR(A61&gt;$C$7,C61&lt;=0.005),0,IF(A61=$C$7,C61,IF($C$9="Flat",MIN(C61,$C$5/$C$7),MIN(C61,$G$5-D61))))</f>
        <v/>
      </c>
      <c r="F61" s="29" t="n">
        <v>0</v>
      </c>
      <c r="G61" s="30">
        <f>D61+E61+F61</f>
        <v/>
      </c>
      <c r="H61" s="29">
        <f>C61-E61-F61</f>
        <v/>
      </c>
    </row>
    <row r="62">
      <c r="A62" s="26" t="n">
        <v>45</v>
      </c>
      <c r="B62" s="27">
        <f>IF(A62&gt;$C$7,"",EDATE($C$8,A62))</f>
        <v/>
      </c>
      <c r="C62" s="29">
        <f>H61</f>
        <v/>
      </c>
      <c r="D62" s="29">
        <f>IF(OR(A62&gt;$C$7,C62&lt;=0.005),0,IF($C$9="Flat",$C$5*$C$6/12,C62*$C$6/12))</f>
        <v/>
      </c>
      <c r="E62" s="29">
        <f>IF(OR(A62&gt;$C$7,C62&lt;=0.005),0,IF(A62=$C$7,C62,IF($C$9="Flat",MIN(C62,$C$5/$C$7),MIN(C62,$G$5-D62))))</f>
        <v/>
      </c>
      <c r="F62" s="29" t="n">
        <v>0</v>
      </c>
      <c r="G62" s="30">
        <f>D62+E62+F62</f>
        <v/>
      </c>
      <c r="H62" s="29">
        <f>C62-E62-F62</f>
        <v/>
      </c>
    </row>
    <row r="63">
      <c r="A63" s="26" t="n">
        <v>46</v>
      </c>
      <c r="B63" s="27">
        <f>IF(A63&gt;$C$7,"",EDATE($C$8,A63))</f>
        <v/>
      </c>
      <c r="C63" s="29">
        <f>H62</f>
        <v/>
      </c>
      <c r="D63" s="29">
        <f>IF(OR(A63&gt;$C$7,C63&lt;=0.005),0,IF($C$9="Flat",$C$5*$C$6/12,C63*$C$6/12))</f>
        <v/>
      </c>
      <c r="E63" s="29">
        <f>IF(OR(A63&gt;$C$7,C63&lt;=0.005),0,IF(A63=$C$7,C63,IF($C$9="Flat",MIN(C63,$C$5/$C$7),MIN(C63,$G$5-D63))))</f>
        <v/>
      </c>
      <c r="F63" s="29" t="n">
        <v>0</v>
      </c>
      <c r="G63" s="30">
        <f>D63+E63+F63</f>
        <v/>
      </c>
      <c r="H63" s="29">
        <f>C63-E63-F63</f>
        <v/>
      </c>
    </row>
    <row r="64">
      <c r="A64" s="26" t="n">
        <v>47</v>
      </c>
      <c r="B64" s="27">
        <f>IF(A64&gt;$C$7,"",EDATE($C$8,A64))</f>
        <v/>
      </c>
      <c r="C64" s="29">
        <f>H63</f>
        <v/>
      </c>
      <c r="D64" s="29">
        <f>IF(OR(A64&gt;$C$7,C64&lt;=0.005),0,IF($C$9="Flat",$C$5*$C$6/12,C64*$C$6/12))</f>
        <v/>
      </c>
      <c r="E64" s="29">
        <f>IF(OR(A64&gt;$C$7,C64&lt;=0.005),0,IF(A64=$C$7,C64,IF($C$9="Flat",MIN(C64,$C$5/$C$7),MIN(C64,$G$5-D64))))</f>
        <v/>
      </c>
      <c r="F64" s="29" t="n">
        <v>0</v>
      </c>
      <c r="G64" s="30">
        <f>D64+E64+F64</f>
        <v/>
      </c>
      <c r="H64" s="29">
        <f>C64-E64-F64</f>
        <v/>
      </c>
    </row>
    <row r="65">
      <c r="A65" s="26" t="n">
        <v>48</v>
      </c>
      <c r="B65" s="27">
        <f>IF(A65&gt;$C$7,"",EDATE($C$8,A65))</f>
        <v/>
      </c>
      <c r="C65" s="29">
        <f>H64</f>
        <v/>
      </c>
      <c r="D65" s="29">
        <f>IF(OR(A65&gt;$C$7,C65&lt;=0.005),0,IF($C$9="Flat",$C$5*$C$6/12,C65*$C$6/12))</f>
        <v/>
      </c>
      <c r="E65" s="29">
        <f>IF(OR(A65&gt;$C$7,C65&lt;=0.005),0,IF(A65=$C$7,C65,IF($C$9="Flat",MIN(C65,$C$5/$C$7),MIN(C65,$G$5-D65))))</f>
        <v/>
      </c>
      <c r="F65" s="29" t="n">
        <v>0</v>
      </c>
      <c r="G65" s="30">
        <f>D65+E65+F65</f>
        <v/>
      </c>
      <c r="H65" s="29">
        <f>C65-E65-F65</f>
        <v/>
      </c>
    </row>
    <row r="66">
      <c r="A66" s="26" t="n">
        <v>49</v>
      </c>
      <c r="B66" s="27">
        <f>IF(A66&gt;$C$7,"",EDATE($C$8,A66))</f>
        <v/>
      </c>
      <c r="C66" s="29">
        <f>H65</f>
        <v/>
      </c>
      <c r="D66" s="29">
        <f>IF(OR(A66&gt;$C$7,C66&lt;=0.005),0,IF($C$9="Flat",$C$5*$C$6/12,C66*$C$6/12))</f>
        <v/>
      </c>
      <c r="E66" s="29">
        <f>IF(OR(A66&gt;$C$7,C66&lt;=0.005),0,IF(A66=$C$7,C66,IF($C$9="Flat",MIN(C66,$C$5/$C$7),MIN(C66,$G$5-D66))))</f>
        <v/>
      </c>
      <c r="F66" s="29" t="n">
        <v>0</v>
      </c>
      <c r="G66" s="30">
        <f>D66+E66+F66</f>
        <v/>
      </c>
      <c r="H66" s="29">
        <f>C66-E66-F66</f>
        <v/>
      </c>
    </row>
    <row r="67">
      <c r="A67" s="26" t="n">
        <v>50</v>
      </c>
      <c r="B67" s="27">
        <f>IF(A67&gt;$C$7,"",EDATE($C$8,A67))</f>
        <v/>
      </c>
      <c r="C67" s="29">
        <f>H66</f>
        <v/>
      </c>
      <c r="D67" s="29">
        <f>IF(OR(A67&gt;$C$7,C67&lt;=0.005),0,IF($C$9="Flat",$C$5*$C$6/12,C67*$C$6/12))</f>
        <v/>
      </c>
      <c r="E67" s="29">
        <f>IF(OR(A67&gt;$C$7,C67&lt;=0.005),0,IF(A67=$C$7,C67,IF($C$9="Flat",MIN(C67,$C$5/$C$7),MIN(C67,$G$5-D67))))</f>
        <v/>
      </c>
      <c r="F67" s="29" t="n">
        <v>0</v>
      </c>
      <c r="G67" s="30">
        <f>D67+E67+F67</f>
        <v/>
      </c>
      <c r="H67" s="29">
        <f>C67-E67-F67</f>
        <v/>
      </c>
    </row>
    <row r="68">
      <c r="A68" s="26" t="n">
        <v>51</v>
      </c>
      <c r="B68" s="27">
        <f>IF(A68&gt;$C$7,"",EDATE($C$8,A68))</f>
        <v/>
      </c>
      <c r="C68" s="29">
        <f>H67</f>
        <v/>
      </c>
      <c r="D68" s="29">
        <f>IF(OR(A68&gt;$C$7,C68&lt;=0.005),0,IF($C$9="Flat",$C$5*$C$6/12,C68*$C$6/12))</f>
        <v/>
      </c>
      <c r="E68" s="29">
        <f>IF(OR(A68&gt;$C$7,C68&lt;=0.005),0,IF(A68=$C$7,C68,IF($C$9="Flat",MIN(C68,$C$5/$C$7),MIN(C68,$G$5-D68))))</f>
        <v/>
      </c>
      <c r="F68" s="29" t="n">
        <v>0</v>
      </c>
      <c r="G68" s="30">
        <f>D68+E68+F68</f>
        <v/>
      </c>
      <c r="H68" s="29">
        <f>C68-E68-F68</f>
        <v/>
      </c>
    </row>
    <row r="69">
      <c r="A69" s="26" t="n">
        <v>52</v>
      </c>
      <c r="B69" s="27">
        <f>IF(A69&gt;$C$7,"",EDATE($C$8,A69))</f>
        <v/>
      </c>
      <c r="C69" s="29">
        <f>H68</f>
        <v/>
      </c>
      <c r="D69" s="29">
        <f>IF(OR(A69&gt;$C$7,C69&lt;=0.005),0,IF($C$9="Flat",$C$5*$C$6/12,C69*$C$6/12))</f>
        <v/>
      </c>
      <c r="E69" s="29">
        <f>IF(OR(A69&gt;$C$7,C69&lt;=0.005),0,IF(A69=$C$7,C69,IF($C$9="Flat",MIN(C69,$C$5/$C$7),MIN(C69,$G$5-D69))))</f>
        <v/>
      </c>
      <c r="F69" s="29" t="n">
        <v>0</v>
      </c>
      <c r="G69" s="30">
        <f>D69+E69+F69</f>
        <v/>
      </c>
      <c r="H69" s="29">
        <f>C69-E69-F69</f>
        <v/>
      </c>
    </row>
    <row r="70">
      <c r="A70" s="26" t="n">
        <v>53</v>
      </c>
      <c r="B70" s="27">
        <f>IF(A70&gt;$C$7,"",EDATE($C$8,A70))</f>
        <v/>
      </c>
      <c r="C70" s="29">
        <f>H69</f>
        <v/>
      </c>
      <c r="D70" s="29">
        <f>IF(OR(A70&gt;$C$7,C70&lt;=0.005),0,IF($C$9="Flat",$C$5*$C$6/12,C70*$C$6/12))</f>
        <v/>
      </c>
      <c r="E70" s="29">
        <f>IF(OR(A70&gt;$C$7,C70&lt;=0.005),0,IF(A70=$C$7,C70,IF($C$9="Flat",MIN(C70,$C$5/$C$7),MIN(C70,$G$5-D70))))</f>
        <v/>
      </c>
      <c r="F70" s="29" t="n">
        <v>0</v>
      </c>
      <c r="G70" s="30">
        <f>D70+E70+F70</f>
        <v/>
      </c>
      <c r="H70" s="29">
        <f>C70-E70-F70</f>
        <v/>
      </c>
    </row>
    <row r="71">
      <c r="A71" s="26" t="n">
        <v>54</v>
      </c>
      <c r="B71" s="27">
        <f>IF(A71&gt;$C$7,"",EDATE($C$8,A71))</f>
        <v/>
      </c>
      <c r="C71" s="29">
        <f>H70</f>
        <v/>
      </c>
      <c r="D71" s="29">
        <f>IF(OR(A71&gt;$C$7,C71&lt;=0.005),0,IF($C$9="Flat",$C$5*$C$6/12,C71*$C$6/12))</f>
        <v/>
      </c>
      <c r="E71" s="29">
        <f>IF(OR(A71&gt;$C$7,C71&lt;=0.005),0,IF(A71=$C$7,C71,IF($C$9="Flat",MIN(C71,$C$5/$C$7),MIN(C71,$G$5-D71))))</f>
        <v/>
      </c>
      <c r="F71" s="29" t="n">
        <v>0</v>
      </c>
      <c r="G71" s="30">
        <f>D71+E71+F71</f>
        <v/>
      </c>
      <c r="H71" s="29">
        <f>C71-E71-F71</f>
        <v/>
      </c>
    </row>
    <row r="72">
      <c r="A72" s="26" t="n">
        <v>55</v>
      </c>
      <c r="B72" s="27">
        <f>IF(A72&gt;$C$7,"",EDATE($C$8,A72))</f>
        <v/>
      </c>
      <c r="C72" s="29">
        <f>H71</f>
        <v/>
      </c>
      <c r="D72" s="29">
        <f>IF(OR(A72&gt;$C$7,C72&lt;=0.005),0,IF($C$9="Flat",$C$5*$C$6/12,C72*$C$6/12))</f>
        <v/>
      </c>
      <c r="E72" s="29">
        <f>IF(OR(A72&gt;$C$7,C72&lt;=0.005),0,IF(A72=$C$7,C72,IF($C$9="Flat",MIN(C72,$C$5/$C$7),MIN(C72,$G$5-D72))))</f>
        <v/>
      </c>
      <c r="F72" s="29" t="n">
        <v>0</v>
      </c>
      <c r="G72" s="30">
        <f>D72+E72+F72</f>
        <v/>
      </c>
      <c r="H72" s="29">
        <f>C72-E72-F72</f>
        <v/>
      </c>
    </row>
    <row r="73">
      <c r="A73" s="26" t="n">
        <v>56</v>
      </c>
      <c r="B73" s="27">
        <f>IF(A73&gt;$C$7,"",EDATE($C$8,A73))</f>
        <v/>
      </c>
      <c r="C73" s="29">
        <f>H72</f>
        <v/>
      </c>
      <c r="D73" s="29">
        <f>IF(OR(A73&gt;$C$7,C73&lt;=0.005),0,IF($C$9="Flat",$C$5*$C$6/12,C73*$C$6/12))</f>
        <v/>
      </c>
      <c r="E73" s="29">
        <f>IF(OR(A73&gt;$C$7,C73&lt;=0.005),0,IF(A73=$C$7,C73,IF($C$9="Flat",MIN(C73,$C$5/$C$7),MIN(C73,$G$5-D73))))</f>
        <v/>
      </c>
      <c r="F73" s="29" t="n">
        <v>0</v>
      </c>
      <c r="G73" s="30">
        <f>D73+E73+F73</f>
        <v/>
      </c>
      <c r="H73" s="29">
        <f>C73-E73-F73</f>
        <v/>
      </c>
    </row>
    <row r="74">
      <c r="A74" s="26" t="n">
        <v>57</v>
      </c>
      <c r="B74" s="27">
        <f>IF(A74&gt;$C$7,"",EDATE($C$8,A74))</f>
        <v/>
      </c>
      <c r="C74" s="29">
        <f>H73</f>
        <v/>
      </c>
      <c r="D74" s="29">
        <f>IF(OR(A74&gt;$C$7,C74&lt;=0.005),0,IF($C$9="Flat",$C$5*$C$6/12,C74*$C$6/12))</f>
        <v/>
      </c>
      <c r="E74" s="29">
        <f>IF(OR(A74&gt;$C$7,C74&lt;=0.005),0,IF(A74=$C$7,C74,IF($C$9="Flat",MIN(C74,$C$5/$C$7),MIN(C74,$G$5-D74))))</f>
        <v/>
      </c>
      <c r="F74" s="29" t="n">
        <v>0</v>
      </c>
      <c r="G74" s="30">
        <f>D74+E74+F74</f>
        <v/>
      </c>
      <c r="H74" s="29">
        <f>C74-E74-F74</f>
        <v/>
      </c>
    </row>
    <row r="75">
      <c r="A75" s="26" t="n">
        <v>58</v>
      </c>
      <c r="B75" s="27">
        <f>IF(A75&gt;$C$7,"",EDATE($C$8,A75))</f>
        <v/>
      </c>
      <c r="C75" s="29">
        <f>H74</f>
        <v/>
      </c>
      <c r="D75" s="29">
        <f>IF(OR(A75&gt;$C$7,C75&lt;=0.005),0,IF($C$9="Flat",$C$5*$C$6/12,C75*$C$6/12))</f>
        <v/>
      </c>
      <c r="E75" s="29">
        <f>IF(OR(A75&gt;$C$7,C75&lt;=0.005),0,IF(A75=$C$7,C75,IF($C$9="Flat",MIN(C75,$C$5/$C$7),MIN(C75,$G$5-D75))))</f>
        <v/>
      </c>
      <c r="F75" s="29" t="n">
        <v>0</v>
      </c>
      <c r="G75" s="30">
        <f>D75+E75+F75</f>
        <v/>
      </c>
      <c r="H75" s="29">
        <f>C75-E75-F75</f>
        <v/>
      </c>
    </row>
    <row r="76">
      <c r="A76" s="26" t="n">
        <v>59</v>
      </c>
      <c r="B76" s="27">
        <f>IF(A76&gt;$C$7,"",EDATE($C$8,A76))</f>
        <v/>
      </c>
      <c r="C76" s="29">
        <f>H75</f>
        <v/>
      </c>
      <c r="D76" s="29">
        <f>IF(OR(A76&gt;$C$7,C76&lt;=0.005),0,IF($C$9="Flat",$C$5*$C$6/12,C76*$C$6/12))</f>
        <v/>
      </c>
      <c r="E76" s="29">
        <f>IF(OR(A76&gt;$C$7,C76&lt;=0.005),0,IF(A76=$C$7,C76,IF($C$9="Flat",MIN(C76,$C$5/$C$7),MIN(C76,$G$5-D76))))</f>
        <v/>
      </c>
      <c r="F76" s="29" t="n">
        <v>0</v>
      </c>
      <c r="G76" s="30">
        <f>D76+E76+F76</f>
        <v/>
      </c>
      <c r="H76" s="29">
        <f>C76-E76-F76</f>
        <v/>
      </c>
    </row>
    <row r="77">
      <c r="A77" s="26" t="n">
        <v>60</v>
      </c>
      <c r="B77" s="27">
        <f>IF(A77&gt;$C$7,"",EDATE($C$8,A77))</f>
        <v/>
      </c>
      <c r="C77" s="29">
        <f>H76</f>
        <v/>
      </c>
      <c r="D77" s="29">
        <f>IF(OR(A77&gt;$C$7,C77&lt;=0.005),0,IF($C$9="Flat",$C$5*$C$6/12,C77*$C$6/12))</f>
        <v/>
      </c>
      <c r="E77" s="29">
        <f>IF(OR(A77&gt;$C$7,C77&lt;=0.005),0,IF(A77=$C$7,C77,IF($C$9="Flat",MIN(C77,$C$5/$C$7),MIN(C77,$G$5-D77))))</f>
        <v/>
      </c>
      <c r="F77" s="29" t="n">
        <v>0</v>
      </c>
      <c r="G77" s="30">
        <f>D77+E77+F77</f>
        <v/>
      </c>
      <c r="H77" s="29">
        <f>C77-E77-F77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I3"/>
  </mergeCells>
  <conditionalFormatting sqref="A18:H77">
    <cfRule type="expression" priority="1" dxfId="0">
      <formula>$G18=0</formula>
    </cfRule>
  </conditionalFormatting>
  <dataValidations count="3">
    <dataValidation sqref="C9" showDropDown="0" showInputMessage="0" showErrorMessage="0" allowBlank="1" type="list">
      <formula1>"Anuitas"</formula1>
    </dataValidation>
    <dataValidation sqref="C6" showDropDown="0" showInputMessage="0" showErrorMessage="1" allowBlank="1" error="Isi angka antara 0 dan 1" type="decimal" operator="between">
      <formula1>0</formula1>
      <formula2>1</formula2>
    </dataValidation>
    <dataValidation sqref="C7" showDropDown="0" showInputMessage="0" showErrorMessage="1" allowBlank="1" error="Isi angka antara 1 dan 60" type="whole" operator="between">
      <formula1>1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0" customWidth="1" min="4" max="4"/>
    <col width="20" customWidth="1" min="5" max="5"/>
    <col width="22" customWidth="1" min="6" max="6"/>
    <col width="14" customWidth="1" min="7" max="7"/>
    <col width="14" customWidth="1" min="8" max="8"/>
    <col width="4" customWidth="1" min="9" max="9"/>
  </cols>
  <sheetData>
    <row r="1" ht="24" customHeight="1">
      <c r="A1" s="13" t="inlineStr">
        <is>
          <t>Analisis Kelayakan Investasi</t>
        </is>
      </c>
    </row>
    <row r="2">
      <c r="A2" s="14" t="inlineStr">
        <is>
          <t>Arus kas bersih per tahun dalam Rupiah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A5" s="8" t="inlineStr">
        <is>
          <t>Investasi awal (Rp)</t>
        </is>
      </c>
      <c r="D5" s="31" t="n">
        <v>750000000</v>
      </c>
    </row>
    <row r="6">
      <c r="A6" s="8" t="inlineStr">
        <is>
          <t>Tingkat diskonto</t>
        </is>
      </c>
      <c r="D6" s="32" t="n">
        <v>0.12</v>
      </c>
    </row>
    <row r="10" ht="30" customHeight="1">
      <c r="A10" s="25" t="inlineStr">
        <is>
          <t>Tahun</t>
        </is>
      </c>
      <c r="B10" s="25" t="inlineStr">
        <is>
          <t>Arus Kas (Rp)</t>
        </is>
      </c>
      <c r="C10" s="25" t="inlineStr">
        <is>
          <t>Faktor Diskonto</t>
        </is>
      </c>
      <c r="D10" s="25" t="inlineStr">
        <is>
          <t>Nilai Kini / PV (Rp)</t>
        </is>
      </c>
      <c r="E10" s="25" t="inlineStr">
        <is>
          <t>Kumulatif (Rp)</t>
        </is>
      </c>
      <c r="F10" s="25" t="inlineStr">
        <is>
          <t>Kumulatif PV (Rp)</t>
        </is>
      </c>
      <c r="G10" s="25" t="inlineStr">
        <is>
          <t>Payback</t>
        </is>
      </c>
      <c r="H10" s="25" t="inlineStr">
        <is>
          <t>Disc. Payback</t>
        </is>
      </c>
    </row>
    <row r="11">
      <c r="A11" s="26" t="n">
        <v>0</v>
      </c>
      <c r="B11" s="29">
        <f>-D5</f>
        <v/>
      </c>
      <c r="C11" s="33" t="n">
        <v>1</v>
      </c>
      <c r="D11" s="29">
        <f>B11*C11</f>
        <v/>
      </c>
      <c r="E11" s="29">
        <f>B11</f>
        <v/>
      </c>
      <c r="F11" s="29">
        <f>D11</f>
        <v/>
      </c>
      <c r="G11" s="28" t="n"/>
      <c r="H11" s="28" t="n"/>
    </row>
    <row r="12">
      <c r="A12" s="26" t="n">
        <v>1</v>
      </c>
      <c r="B12" s="34" t="n">
        <v>240000000</v>
      </c>
      <c r="C12" s="33">
        <f>1/(1+$D$6)^A12</f>
        <v/>
      </c>
      <c r="D12" s="29">
        <f>B12*C12</f>
        <v/>
      </c>
      <c r="E12" s="29">
        <f>E11+B12</f>
        <v/>
      </c>
      <c r="F12" s="29">
        <f>F11+D12</f>
        <v/>
      </c>
      <c r="G12" s="35">
        <f>IF(AND(E11&lt;0,E12&gt;=0),(A12-1)+(-E11)/B12,0)</f>
        <v/>
      </c>
      <c r="H12" s="35">
        <f>IF(AND(F11&lt;0,F12&gt;=0),(A12-1)+(-F11)/D12,0)</f>
        <v/>
      </c>
    </row>
    <row r="13">
      <c r="A13" s="26" t="n">
        <v>2</v>
      </c>
      <c r="B13" s="34" t="n">
        <v>280000000</v>
      </c>
      <c r="C13" s="33">
        <f>1/(1+$D$6)^A13</f>
        <v/>
      </c>
      <c r="D13" s="29">
        <f>B13*C13</f>
        <v/>
      </c>
      <c r="E13" s="29">
        <f>E12+B13</f>
        <v/>
      </c>
      <c r="F13" s="29">
        <f>F12+D13</f>
        <v/>
      </c>
      <c r="G13" s="35">
        <f>IF(AND(E12&lt;0,E13&gt;=0),(A13-1)+(-E12)/B13,0)</f>
        <v/>
      </c>
      <c r="H13" s="35">
        <f>IF(AND(F12&lt;0,F13&gt;=0),(A13-1)+(-F12)/D13,0)</f>
        <v/>
      </c>
    </row>
    <row r="14">
      <c r="A14" s="26" t="n">
        <v>3</v>
      </c>
      <c r="B14" s="34" t="n">
        <v>310000000</v>
      </c>
      <c r="C14" s="33">
        <f>1/(1+$D$6)^A14</f>
        <v/>
      </c>
      <c r="D14" s="29">
        <f>B14*C14</f>
        <v/>
      </c>
      <c r="E14" s="29">
        <f>E13+B14</f>
        <v/>
      </c>
      <c r="F14" s="29">
        <f>F13+D14</f>
        <v/>
      </c>
      <c r="G14" s="35">
        <f>IF(AND(E13&lt;0,E14&gt;=0),(A14-1)+(-E13)/B14,0)</f>
        <v/>
      </c>
      <c r="H14" s="35">
        <f>IF(AND(F13&lt;0,F14&gt;=0),(A14-1)+(-F13)/D14,0)</f>
        <v/>
      </c>
    </row>
    <row r="15">
      <c r="A15" s="26" t="n">
        <v>4</v>
      </c>
      <c r="B15" s="34" t="n">
        <v>330000000</v>
      </c>
      <c r="C15" s="33">
        <f>1/(1+$D$6)^A15</f>
        <v/>
      </c>
      <c r="D15" s="29">
        <f>B15*C15</f>
        <v/>
      </c>
      <c r="E15" s="29">
        <f>E14+B15</f>
        <v/>
      </c>
      <c r="F15" s="29">
        <f>F14+D15</f>
        <v/>
      </c>
      <c r="G15" s="35">
        <f>IF(AND(E14&lt;0,E15&gt;=0),(A15-1)+(-E14)/B15,0)</f>
        <v/>
      </c>
      <c r="H15" s="35">
        <f>IF(AND(F14&lt;0,F15&gt;=0),(A15-1)+(-F14)/D15,0)</f>
        <v/>
      </c>
    </row>
    <row r="16">
      <c r="A16" s="26" t="n">
        <v>5</v>
      </c>
      <c r="B16" s="34" t="n">
        <v>340000000</v>
      </c>
      <c r="C16" s="33">
        <f>1/(1+$D$6)^A16</f>
        <v/>
      </c>
      <c r="D16" s="29">
        <f>B16*C16</f>
        <v/>
      </c>
      <c r="E16" s="29">
        <f>E15+B16</f>
        <v/>
      </c>
      <c r="F16" s="29">
        <f>F15+D16</f>
        <v/>
      </c>
      <c r="G16" s="35">
        <f>IF(AND(E15&lt;0,E16&gt;=0),(A16-1)+(-E15)/B16,0)</f>
        <v/>
      </c>
      <c r="H16" s="35">
        <f>IF(AND(F15&lt;0,F16&gt;=0),(A16-1)+(-F15)/D16,0)</f>
        <v/>
      </c>
    </row>
    <row r="18">
      <c r="A18" s="6" t="inlineStr">
        <is>
          <t>HASIL ANALISIS</t>
        </is>
      </c>
      <c r="B18" s="7" t="n"/>
      <c r="C18" s="7" t="n"/>
      <c r="D18" s="7" t="n"/>
    </row>
    <row r="19">
      <c r="A19" s="8" t="inlineStr">
        <is>
          <t>NPV (Rp)</t>
        </is>
      </c>
      <c r="D19" s="17">
        <f>SUM(D11:D16)</f>
        <v/>
      </c>
    </row>
    <row r="20">
      <c r="A20" s="8" t="inlineStr">
        <is>
          <t>IRR</t>
        </is>
      </c>
      <c r="D20" s="36">
        <f>IFERROR(IRR(B11:B16,0.1),"-")</f>
        <v/>
      </c>
    </row>
    <row r="21">
      <c r="A21" s="8" t="inlineStr">
        <is>
          <t>Payback period (tahun)</t>
        </is>
      </c>
      <c r="D21" s="37">
        <f>IF(SUM(G12:G16)&gt;0,SUM(G12:G16),"Belum kembali dalam horizon")</f>
        <v/>
      </c>
    </row>
    <row r="22">
      <c r="A22" s="8" t="inlineStr">
        <is>
          <t>Keputusan</t>
        </is>
      </c>
      <c r="D22" s="38">
        <f>IF(D19&gt;0,"LAYAK: NPV positif","TIDAK LAYAK: NPV negatif")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A19:C19"/>
    <mergeCell ref="A22:C22"/>
    <mergeCell ref="A21:C21"/>
    <mergeCell ref="A3:I3"/>
    <mergeCell ref="A20:C20"/>
  </mergeCells>
  <conditionalFormatting sqref="D22">
    <cfRule type="expression" priority="1" dxfId="1">
      <formula>LEFT(D22,5)="LAYAK"</formula>
    </cfRule>
    <cfRule type="expression" priority="2" dxfId="2">
      <formula>LEFT(D22,5)="TIDAK"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Pinjaman &amp; Investasi (Demo)</dc:title>
  <dc:subject xmlns:dc="http://purl.org/dc/elements/1.1/">Lisensi: demo</dc:subject>
  <dcterms:created xmlns:dcterms="http://purl.org/dc/terms/" xmlns:xsi="http://www.w3.org/2001/XMLSchema-instance" xsi:type="dcterms:W3CDTF">2026-10-29T09:42:46Z</dcterms:created>
  <dcterms:modified xmlns:dcterms="http://purl.org/dc/terms/" xmlns:xsi="http://www.w3.org/2001/XMLSchema-instance" xsi:type="dcterms:W3CDTF">2026-10-29T09:42:46Z</dcterms:modified>
</cp:coreProperties>
</file>