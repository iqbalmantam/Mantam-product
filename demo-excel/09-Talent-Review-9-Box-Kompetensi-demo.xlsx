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KARYAWAN" sheetId="3" state="visible" r:id="rId3"/>
    <sheet xmlns:r="http://schemas.openxmlformats.org/officeDocument/2006/relationships" name="RINGKASAN" sheetId="4" state="visible" r:id="rId4"/>
    <sheet xmlns:r="http://schemas.openxmlformats.org/officeDocument/2006/relationships" name="FULL-MATRIKS_9BOX" sheetId="5" state="visible" r:id="rId5"/>
    <sheet xmlns:r="http://schemas.openxmlformats.org/officeDocument/2006/relationships" name="FULL-KOMPETENSI" sheetId="6" state="visible" r:id="rId6"/>
    <sheet xmlns:r="http://schemas.openxmlformats.org/officeDocument/2006/relationships" name="FULL-SUKSESI" sheetId="7" state="visible" r:id="rId7"/>
    <sheet xmlns:r="http://schemas.openxmlformats.org/officeDocument/2006/relationships" name="FULL-DASHBOARD" sheetId="8" state="visible" r:id="rId8"/>
  </sheets>
  <definedNames>
    <definedName name="_xlnm._FilterDatabase" localSheetId="2" hidden="1">'KARYAWAN'!$A$5:$W$25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0.0"/>
    <numFmt numFmtId="167" formatCode="0.0%;(0.0%);&quot;-&quot;"/>
  </numFmts>
  <fonts count="18">
    <font>
      <name val="Calibri"/>
      <family val="2"/>
      <color theme="1"/>
      <sz val="11"/>
      <scheme val="minor"/>
    </font>
    <font>
      <name val="Arial"/>
      <b val="1"/>
      <color rgb="000EA5A4"/>
      <sz val="11"/>
    </font>
    <font>
      <name val="Arial"/>
      <b val="1"/>
      <color rgb="000B1A30"/>
      <sz val="18"/>
    </font>
    <font>
      <name val="Arial"/>
      <color rgb="0033445C"/>
      <sz val="10"/>
    </font>
    <font>
      <name val="Arial"/>
      <b val="1"/>
      <color rgb="000B1A30"/>
      <sz val="10"/>
    </font>
    <font>
      <name val="Arial"/>
      <b val="1"/>
      <color rgb="00B9770E"/>
      <sz val="10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0B1A30"/>
      <sz val="16"/>
    </font>
    <font>
      <name val="Arial"/>
      <i val="1"/>
      <color rgb="005B6B82"/>
      <sz val="10"/>
    </font>
    <font>
      <name val="Arial"/>
      <b val="1"/>
      <color rgb="00B9770E"/>
      <sz val="9"/>
    </font>
    <font>
      <name val="Arial"/>
      <i val="1"/>
      <color rgb="005B6B82"/>
      <sz val="9"/>
    </font>
    <font>
      <name val="Arial"/>
      <b val="1"/>
      <color rgb="00C0392B"/>
      <sz val="11"/>
    </font>
    <font>
      <name val="Arial"/>
      <b val="1"/>
      <color rgb="000B1A30"/>
      <sz val="20"/>
    </font>
    <font>
      <name val="Arial"/>
      <color rgb="0033445C"/>
      <sz val="11"/>
    </font>
    <font>
      <name val="Arial"/>
      <b val="1"/>
      <color rgb="001E8449"/>
      <sz val="10"/>
    </font>
  </fonts>
  <fills count="7">
    <fill>
      <patternFill/>
    </fill>
    <fill>
      <patternFill patternType="gray125"/>
    </fill>
    <fill>
      <patternFill patternType="solid">
        <fgColor rgb="000EA5A4"/>
      </patternFill>
    </fill>
    <fill>
      <patternFill patternType="solid">
        <fgColor rgb="00FFF2CC"/>
      </patternFill>
    </fill>
    <fill>
      <patternFill patternType="solid">
        <fgColor rgb="00FDEBD0"/>
      </patternFill>
    </fill>
    <fill>
      <patternFill patternType="solid">
        <fgColor rgb="00F2F5FA"/>
      </patternFill>
    </fill>
    <fill>
      <patternFill patternType="solid">
        <fgColor rgb="000B1A30"/>
      </patternFill>
    </fill>
  </fills>
  <borders count="6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  <border>
      <left/>
      <right/>
      <top style="thin">
        <color rgb="00D0D7E2"/>
      </top>
      <bottom/>
      <diagonal/>
    </border>
    <border>
      <left/>
      <right style="thin">
        <color rgb="00D0D7E2"/>
      </right>
      <top style="thin">
        <color rgb="00D0D7E2"/>
      </top>
      <bottom/>
      <diagonal/>
    </border>
    <border>
      <left/>
      <right/>
      <top style="thin">
        <color rgb="00D0D7E2"/>
      </top>
      <bottom style="thin">
        <color rgb="00D0D7E2"/>
      </bottom>
      <diagonal/>
    </border>
    <border>
      <left/>
      <right style="thin">
        <color rgb="00D0D7E2"/>
      </right>
      <top style="thin">
        <color rgb="00D0D7E2"/>
      </top>
      <bottom style="thin">
        <color rgb="00D0D7E2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0" borderId="0" pivotButton="0" quotePrefix="0" xfId="0"/>
    <xf numFmtId="0" fontId="8" fillId="0" borderId="0" applyAlignment="1" pivotButton="0" quotePrefix="0" xfId="0">
      <alignment vertical="top" wrapText="1"/>
    </xf>
    <xf numFmtId="0" fontId="9" fillId="0" borderId="0" pivotButton="0" quotePrefix="0" xfId="0"/>
    <xf numFmtId="0" fontId="8" fillId="0" borderId="0" pivotButton="0" quotePrefix="0" xfId="0"/>
    <xf numFmtId="0" fontId="9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4" borderId="0" applyAlignment="1" pivotButton="0" quotePrefix="0" xfId="0">
      <alignment vertical="center"/>
    </xf>
    <xf numFmtId="0" fontId="7" fillId="0" borderId="1" pivotButton="0" quotePrefix="0" xfId="0"/>
    <xf numFmtId="165" fontId="9" fillId="3" borderId="1" applyProtection="1" pivotButton="0" quotePrefix="0" xfId="0">
      <protection locked="0" hidden="0"/>
    </xf>
    <xf numFmtId="166" fontId="9" fillId="3" borderId="1" applyProtection="1" pivotButton="0" quotePrefix="0" xfId="0">
      <protection locked="0" hidden="0"/>
    </xf>
    <xf numFmtId="0" fontId="13" fillId="0" borderId="0" pivotButton="0" quotePrefix="0" xfId="0"/>
    <xf numFmtId="0" fontId="7" fillId="5" borderId="1" pivotButton="0" quotePrefix="0" xfId="0"/>
    <xf numFmtId="0" fontId="7" fillId="5" borderId="1" applyAlignment="1" pivotButton="0" quotePrefix="0" xfId="0">
      <alignment horizontal="center" vertical="center" wrapText="1"/>
    </xf>
    <xf numFmtId="166" fontId="9" fillId="3" borderId="1" applyAlignment="1" applyProtection="1" pivotButton="0" quotePrefix="0" xfId="0">
      <alignment horizontal="center" vertical="center"/>
      <protection locked="0" hidden="0"/>
    </xf>
    <xf numFmtId="0" fontId="6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" fontId="8" fillId="0" borderId="1" applyAlignment="1" pivotButton="0" quotePrefix="0" xfId="0">
      <alignment horizontal="center" vertical="center"/>
    </xf>
    <xf numFmtId="0" fontId="9" fillId="0" borderId="1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  <xf numFmtId="0" fontId="9" fillId="0" borderId="1" applyAlignment="1" applyProtection="1" pivotButton="0" quotePrefix="0" xfId="0">
      <alignment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9" fillId="0" borderId="1" applyAlignment="1" applyProtection="1" pivotButton="0" quotePrefix="0" xfId="0">
      <alignment horizontal="center" vertical="center"/>
      <protection locked="0" hidden="0"/>
    </xf>
    <xf numFmtId="165" fontId="9" fillId="0" borderId="1" applyAlignment="1" applyProtection="1" pivotButton="0" quotePrefix="0" xfId="0">
      <alignment horizontal="center" vertical="center"/>
      <protection locked="0" hidden="0"/>
    </xf>
    <xf numFmtId="166" fontId="9" fillId="0" borderId="1" applyAlignment="1" applyProtection="1" pivotButton="0" quotePrefix="0" xfId="0">
      <alignment horizontal="center" vertical="center"/>
      <protection locked="0" hidden="0"/>
    </xf>
    <xf numFmtId="166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0" fontId="8" fillId="0" borderId="1" pivotButton="0" quotePrefix="0" xfId="0"/>
    <xf numFmtId="167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 wrapText="1"/>
    </xf>
    <xf numFmtId="0" fontId="8" fillId="5" borderId="1" pivotButton="0" quotePrefix="0" xfId="0"/>
    <xf numFmtId="1" fontId="7" fillId="5" borderId="1" applyAlignment="1" pivotButton="0" quotePrefix="0" xfId="0">
      <alignment horizontal="center" vertical="center"/>
    </xf>
    <xf numFmtId="167" fontId="7" fillId="5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right" vertical="center"/>
    </xf>
    <xf numFmtId="2" fontId="7" fillId="0" borderId="1" applyAlignment="1" pivotButton="0" quotePrefix="0" xfId="0">
      <alignment horizontal="right" vertical="center"/>
    </xf>
    <xf numFmtId="167" fontId="7" fillId="0" borderId="1" applyAlignment="1" pivotButton="0" quotePrefix="0" xfId="0">
      <alignment horizontal="right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7" fillId="0" borderId="0" pivotButton="0" quotePrefix="0" xfId="0"/>
  </cellXfs>
  <cellStyles count="1">
    <cellStyle name="Normal" xfId="0" builtinId="0" hidden="0"/>
  </cellStyles>
  <dxfs count="3">
    <dxf>
      <font>
        <name val="Arial"/>
        <b val="1"/>
        <color rgb="001E8449"/>
        <sz val="10"/>
      </font>
      <fill>
        <patternFill patternType="solid">
          <fgColor rgb="00D5F5E3"/>
        </patternFill>
      </fill>
    </dxf>
    <dxf>
      <font>
        <name val="Arial"/>
        <b val="1"/>
        <color rgb="00C0392B"/>
        <sz val="10"/>
      </font>
      <fill>
        <patternFill patternType="solid">
          <fgColor rgb="00F5B7B1"/>
        </patternFill>
      </fill>
    </dxf>
    <dxf>
      <font>
        <name val="Arial"/>
        <color rgb="00C0392B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Jumlah Karyawan per Kotak 9-Box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'RINGKASAN'!C5</f>
            </strRef>
          </tx>
          <spPr>
            <a:solidFill xmlns:a="http://schemas.openxmlformats.org/drawingml/2006/main">
              <a:srgbClr val="0EA5A4"/>
            </a:solidFill>
            <a:ln xmlns:a="http://schemas.openxmlformats.org/drawingml/2006/main">
              <a:solidFill>
                <a:srgbClr val="0EA5A4"/>
              </a:solidFill>
              <a:prstDash val="solid"/>
            </a:ln>
          </spPr>
          <cat>
            <numRef>
              <f>'RINGKASAN'!$B$6:$B$14</f>
            </numRef>
          </cat>
          <val>
            <numRef>
              <f>'RINGKASAN'!$C$6:$C$14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3E8F1"/>
              </a:solidFill>
              <a:prstDash val="solid"/>
            </a:ln>
          </spPr>
        </majorGridlines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576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2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90" customWidth="1" min="3" max="3"/>
  </cols>
  <sheetData>
    <row r="1">
      <c r="B1" s="1" t="inlineStr">
        <is>
          <t>Mantam Product</t>
        </is>
      </c>
    </row>
    <row r="2" ht="28" customHeight="1">
      <c r="B2" s="2" t="inlineStr">
        <is>
          <t>Talent Review 9-Box &amp; Kompetensi</t>
        </is>
      </c>
    </row>
    <row r="3" ht="44" customHeight="1">
      <c r="B3" s="3" t="inlineStr">
        <is>
          <t>Petakan kinerja dan potensi karyawan ke matriks 9-box, ukur gap kompetensi, dan tetapkan tindakan pengembangan.</t>
        </is>
      </c>
    </row>
    <row r="5">
      <c r="B5" s="4" t="inlineStr">
        <is>
          <t>Lisensi</t>
        </is>
      </c>
      <c r="C5" s="5" t="inlineStr">
        <is>
          <t>VERSI DEMO. Kapasitas dan fitur dibatasi. Pesan versi lengkap: WhatsApp 089623291732</t>
        </is>
      </c>
    </row>
    <row r="7">
      <c r="B7" s="6" t="inlineStr">
        <is>
          <t>Cara memakai</t>
        </is>
      </c>
      <c r="C7" s="7" t="n"/>
    </row>
    <row r="8" ht="16" customHeight="1">
      <c r="B8" s="8" t="inlineStr">
        <is>
          <t>Langkah 1</t>
        </is>
      </c>
      <c r="C8" s="9" t="inlineStr">
        <is>
          <t>Atur ambang, bobot, dan target kompetensi di PARAMETER (sel kuning).</t>
        </is>
      </c>
    </row>
    <row r="9" ht="16" customHeight="1">
      <c r="B9" s="8" t="inlineStr">
        <is>
          <t>Langkah 2</t>
        </is>
      </c>
      <c r="C9" s="9" t="inlineStr">
        <is>
          <t>Isi data karyawan di KARYAWAN: kinerja dan potensi (skala 1-5) serta skor 6 kompetensi.</t>
        </is>
      </c>
    </row>
    <row r="10" ht="16" customHeight="1">
      <c r="B10" s="8" t="inlineStr">
        <is>
          <t>Langkah 3</t>
        </is>
      </c>
      <c r="C10" s="9" t="inlineStr">
        <is>
          <t>Kotak 9-box, skor kompetensi, gap, fokus pengembangan, dan tindakan terisi otomatis.</t>
        </is>
      </c>
    </row>
    <row r="11" ht="16" customHeight="1">
      <c r="B11" s="8" t="inlineStr">
        <is>
          <t>Langkah 4</t>
        </is>
      </c>
      <c r="C11" s="9" t="inlineStr">
        <is>
          <t>Baca RINGKASAN.</t>
        </is>
      </c>
    </row>
    <row r="13">
      <c r="B13" s="6" t="inlineStr">
        <is>
          <t>Isi berkas</t>
        </is>
      </c>
      <c r="C13" s="7" t="n"/>
    </row>
    <row r="14" ht="30" customHeight="1">
      <c r="B14" s="8" t="inlineStr">
        <is>
          <t>PARAMETER</t>
        </is>
      </c>
      <c r="C14" s="9" t="inlineStr">
        <is>
          <t>Tanggal laporan, ambang Tinggi/Sedang, bobot dan target tiap kompetensi, serta tabel tindakan 9 kotak.</t>
        </is>
      </c>
    </row>
    <row r="15" ht="30" customHeight="1">
      <c r="B15" s="8" t="inlineStr">
        <is>
          <t>KARYAWAN</t>
        </is>
      </c>
      <c r="C15" s="9" t="inlineStr">
        <is>
          <t>Data karyawan (kapasitas 20): kinerja, potensi, 6 kompetensi; skor, gap, kotak 9-box, dan tindakan terisi otomatis.</t>
        </is>
      </c>
    </row>
    <row r="16" ht="16" customHeight="1">
      <c r="B16" s="8" t="inlineStr">
        <is>
          <t>RINGKASAN</t>
        </is>
      </c>
      <c r="C16" s="9" t="inlineStr">
        <is>
          <t>Sebaran karyawan per kotak 9-box dan indikator utama.</t>
        </is>
      </c>
    </row>
    <row r="18">
      <c r="B18" s="6" t="inlineStr">
        <is>
          <t>Legenda warna</t>
        </is>
      </c>
      <c r="C18" s="7" t="n"/>
    </row>
    <row r="19">
      <c r="B19" s="10" t="inlineStr">
        <is>
          <t>Teks biru</t>
        </is>
      </c>
      <c r="C19" s="11" t="inlineStr">
        <is>
          <t>Sel input: boleh Anda ubah (tidak terkunci).</t>
        </is>
      </c>
    </row>
    <row r="20">
      <c r="B20" s="12" t="inlineStr">
        <is>
          <t>Sel kuning</t>
        </is>
      </c>
      <c r="C20" s="11" t="inlineStr">
        <is>
          <t>Parameter kunci: periksa terlebih dulu.</t>
        </is>
      </c>
    </row>
    <row r="21">
      <c r="B21" s="11" t="inlineStr">
        <is>
          <t>Teks hitam</t>
        </is>
      </c>
      <c r="C21" s="11" t="inlineStr">
        <is>
          <t>Rumus otomatis (terkunci; Review &gt; Unprotect Sheet tanpa kata sandi bila perlu).</t>
        </is>
      </c>
    </row>
    <row r="23">
      <c r="B23" s="6" t="inlineStr">
        <is>
          <t>Catatan</t>
        </is>
      </c>
      <c r="C23" s="7" t="n"/>
    </row>
    <row r="24" ht="16" customHeight="1">
      <c r="C24" s="9" t="inlineStr">
        <is>
          <t>• Seluruh data adalah simulasi buatan, bukan data perusahaan nyata.</t>
        </is>
      </c>
    </row>
    <row r="25" ht="30" customHeight="1">
      <c r="C25" s="9" t="inlineStr">
        <is>
          <t>• Hasil perhitungan adalah alat bantu; verifikasi dengan akuntan/konsultan sebelum dipakai untuk keputusan atau pelaporan resmi.</t>
        </is>
      </c>
    </row>
    <row r="26" ht="30" customHeight="1">
      <c r="C26" s="9" t="inlineStr">
        <is>
          <t>• Penilaian kinerja dan potensi bersifat subjektif; gunakan sebagai bahan diskusi kalibrasi antaratasan, bukan keputusan otomatis.</t>
        </is>
      </c>
    </row>
    <row r="27" ht="30" customHeight="1">
      <c r="C27" s="9" t="inlineStr">
        <is>
          <t>• Data karyawan bersifat rahasia; simpan dan bagikan sesuai kebijakan privasi perusahaan Anda.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4" customHeight="1">
      <c r="A1" s="13" t="inlineStr">
        <is>
          <t>Parameter</t>
        </is>
      </c>
    </row>
    <row r="2">
      <c r="A2" s="14" t="inlineStr">
        <is>
          <t>Isi sel kuning.</t>
        </is>
      </c>
    </row>
    <row r="3">
      <c r="A3" s="15" t="inlineStr">
        <is>
          <t>VERSI DEMO: kapasitas &amp; fitur dibatasi, data simulasi. Versi lengkap: WhatsApp 089623291732</t>
        </is>
      </c>
    </row>
    <row r="5">
      <c r="B5" s="16" t="inlineStr">
        <is>
          <t>Tanggal laporan</t>
        </is>
      </c>
      <c r="C5" s="17" t="n">
        <v>46326</v>
      </c>
    </row>
    <row r="6">
      <c r="B6" s="16" t="inlineStr">
        <is>
          <t>Ambang level Tinggi (≥)</t>
        </is>
      </c>
      <c r="C6" s="18" t="n">
        <v>4</v>
      </c>
      <c r="D6" s="19" t="inlineStr">
        <is>
          <t>Di bawah ambang Sedang = Rendah</t>
        </is>
      </c>
    </row>
    <row r="7">
      <c r="B7" s="16" t="inlineStr">
        <is>
          <t>Ambang level Sedang (≥)</t>
        </is>
      </c>
      <c r="C7" s="18" t="n">
        <v>3</v>
      </c>
    </row>
    <row r="9">
      <c r="B9" s="6" t="inlineStr">
        <is>
          <t>KOMPETENSI</t>
        </is>
      </c>
      <c r="C9" s="7" t="n"/>
      <c r="D9" s="7" t="n"/>
      <c r="E9" s="7" t="n"/>
      <c r="F9" s="7" t="n"/>
      <c r="G9" s="7" t="n"/>
      <c r="H9" s="7" t="n"/>
    </row>
    <row r="10" ht="30" customHeight="1">
      <c r="B10" s="20" t="inlineStr">
        <is>
          <t>Kompetensi</t>
        </is>
      </c>
      <c r="C10" s="21" t="inlineStr">
        <is>
          <t>Kepemimpinan</t>
        </is>
      </c>
      <c r="D10" s="21" t="inlineStr">
        <is>
          <t>Komunikasi</t>
        </is>
      </c>
      <c r="E10" s="21" t="inlineStr">
        <is>
          <t>Analitis</t>
        </is>
      </c>
      <c r="F10" s="21" t="inlineStr">
        <is>
          <t>Kolaborasi</t>
        </is>
      </c>
      <c r="G10" s="21" t="inlineStr">
        <is>
          <t>Orientasi Hasil</t>
        </is>
      </c>
      <c r="H10" s="21" t="inlineStr">
        <is>
          <t>Inovasi</t>
        </is>
      </c>
    </row>
    <row r="11">
      <c r="B11" s="20" t="inlineStr">
        <is>
          <t>Bobot</t>
        </is>
      </c>
      <c r="C11" s="22" t="n">
        <v>1</v>
      </c>
      <c r="D11" s="22" t="n">
        <v>1</v>
      </c>
      <c r="E11" s="22" t="n">
        <v>1</v>
      </c>
      <c r="F11" s="22" t="n">
        <v>1</v>
      </c>
      <c r="G11" s="22" t="n">
        <v>1</v>
      </c>
      <c r="H11" s="22" t="n">
        <v>1</v>
      </c>
    </row>
    <row r="12">
      <c r="B12" s="20" t="inlineStr">
        <is>
          <t>Target level</t>
        </is>
      </c>
      <c r="C12" s="22" t="n">
        <v>3.5</v>
      </c>
      <c r="D12" s="22" t="n">
        <v>3.5</v>
      </c>
      <c r="E12" s="22" t="n">
        <v>3.5</v>
      </c>
      <c r="F12" s="22" t="n">
        <v>3.5</v>
      </c>
      <c r="G12" s="22" t="n">
        <v>3.5</v>
      </c>
      <c r="H12" s="22" t="n">
        <v>3.5</v>
      </c>
    </row>
    <row r="14" ht="20" customHeight="1">
      <c r="B14" s="23" t="inlineStr">
        <is>
          <t>Kotak</t>
        </is>
      </c>
      <c r="C14" s="23" t="inlineStr">
        <is>
          <t>Nama kotak</t>
        </is>
      </c>
      <c r="D14" s="23" t="inlineStr"/>
      <c r="E14" s="23" t="inlineStr">
        <is>
          <t>Tindakan yang disarankan</t>
        </is>
      </c>
      <c r="F14" s="24" t="n"/>
      <c r="G14" s="24" t="n"/>
      <c r="H14" s="25" t="n"/>
    </row>
    <row r="15" ht="28" customHeight="1">
      <c r="B15" s="26" t="n">
        <v>1</v>
      </c>
      <c r="C15" s="27" t="inlineStr">
        <is>
          <t>Risiko</t>
        </is>
      </c>
      <c r="D15" s="28" t="n"/>
      <c r="E15" s="29" t="inlineStr">
        <is>
          <t>Tinjau kesesuaian peran; rencana perbaikan 90 hari atau penempatan ulang.</t>
        </is>
      </c>
      <c r="F15" s="30" t="n"/>
      <c r="G15" s="30" t="n"/>
      <c r="H15" s="28" t="n"/>
    </row>
    <row r="16" ht="28" customHeight="1">
      <c r="B16" s="26" t="n">
        <v>2</v>
      </c>
      <c r="C16" s="27" t="inlineStr">
        <is>
          <t>Perlu Perbaikan</t>
        </is>
      </c>
      <c r="D16" s="28" t="n"/>
      <c r="E16" s="29" t="inlineStr">
        <is>
          <t>Coaching intensif, target jelas, evaluasi 60 hari.</t>
        </is>
      </c>
      <c r="F16" s="30" t="n"/>
      <c r="G16" s="30" t="n"/>
      <c r="H16" s="28" t="n"/>
    </row>
    <row r="17" ht="28" customHeight="1">
      <c r="B17" s="26" t="n">
        <v>3</v>
      </c>
      <c r="C17" s="27" t="inlineStr">
        <is>
          <t>Berlian Mentah</t>
        </is>
      </c>
      <c r="D17" s="28" t="n"/>
      <c r="E17" s="29" t="inlineStr">
        <is>
          <t>Cari akar masalah kinerja; mentor dan penugasan yang tepat.</t>
        </is>
      </c>
      <c r="F17" s="30" t="n"/>
      <c r="G17" s="30" t="n"/>
      <c r="H17" s="28" t="n"/>
    </row>
    <row r="18" ht="28" customHeight="1">
      <c r="B18" s="26" t="n">
        <v>4</v>
      </c>
      <c r="C18" s="27" t="inlineStr">
        <is>
          <t>Pemain Efektif</t>
        </is>
      </c>
      <c r="D18" s="28" t="n"/>
      <c r="E18" s="29" t="inlineStr">
        <is>
          <t>Pertahankan; tingkatkan keahlian teknis dan keterlibatan.</t>
        </is>
      </c>
      <c r="F18" s="30" t="n"/>
      <c r="G18" s="30" t="n"/>
      <c r="H18" s="28" t="n"/>
    </row>
    <row r="19" ht="28" customHeight="1">
      <c r="B19" s="26" t="n">
        <v>5</v>
      </c>
      <c r="C19" s="27" t="inlineStr">
        <is>
          <t>Pemain Inti</t>
        </is>
      </c>
      <c r="D19" s="28" t="n"/>
      <c r="E19" s="29" t="inlineStr">
        <is>
          <t>Kembangkan lewat penugasan lintas fungsi dan pelatihan terarah.</t>
        </is>
      </c>
      <c r="F19" s="30" t="n"/>
      <c r="G19" s="30" t="n"/>
      <c r="H19" s="28" t="n"/>
    </row>
    <row r="20" ht="28" customHeight="1">
      <c r="B20" s="26" t="n">
        <v>6</v>
      </c>
      <c r="C20" s="27" t="inlineStr">
        <is>
          <t>Calon Bintang</t>
        </is>
      </c>
      <c r="D20" s="28" t="n"/>
      <c r="E20" s="29" t="inlineStr">
        <is>
          <t>Program akselerasi, proyek stretch, dan eksposur ke manajemen.</t>
        </is>
      </c>
      <c r="F20" s="30" t="n"/>
      <c r="G20" s="30" t="n"/>
      <c r="H20" s="28" t="n"/>
    </row>
    <row r="21" ht="28" customHeight="1">
      <c r="B21" s="26" t="n">
        <v>7</v>
      </c>
      <c r="C21" s="27" t="inlineStr">
        <is>
          <t>Pakar Andal</t>
        </is>
      </c>
      <c r="D21" s="28" t="n"/>
      <c r="E21" s="29" t="inlineStr">
        <is>
          <t>Hargai keahlian; jadikan mentor dan rujukan teknis.</t>
        </is>
      </c>
      <c r="F21" s="30" t="n"/>
      <c r="G21" s="30" t="n"/>
      <c r="H21" s="28" t="n"/>
    </row>
    <row r="22" ht="28" customHeight="1">
      <c r="B22" s="26" t="n">
        <v>8</v>
      </c>
      <c r="C22" s="27" t="inlineStr">
        <is>
          <t>Kinerja Tinggi</t>
        </is>
      </c>
      <c r="D22" s="28" t="n"/>
      <c r="E22" s="29" t="inlineStr">
        <is>
          <t>Perluas tanggung jawab; siapkan jalur karier lanjutan.</t>
        </is>
      </c>
      <c r="F22" s="30" t="n"/>
      <c r="G22" s="30" t="n"/>
      <c r="H22" s="28" t="n"/>
    </row>
    <row r="23" ht="28" customHeight="1">
      <c r="B23" s="26" t="n">
        <v>9</v>
      </c>
      <c r="C23" s="27" t="inlineStr">
        <is>
          <t>Bintang</t>
        </is>
      </c>
      <c r="D23" s="28" t="n"/>
      <c r="E23" s="29" t="inlineStr">
        <is>
          <t>Percepat promosi, masukkan daftar suksesi, dan jaga retensi.</t>
        </is>
      </c>
      <c r="F23" s="30" t="n"/>
      <c r="G23" s="30" t="n"/>
      <c r="H23" s="28" t="n"/>
    </row>
    <row r="25">
      <c r="B25" s="19" t="inlineStr">
        <is>
          <t>Nomor kotak = (level kinerja − 1) × 3 + level potensi, dengan level 1 = Rendah, 2 = Sedang, 3 = Tinggi.</t>
        </is>
      </c>
    </row>
    <row r="27" ht="20" customHeight="1">
      <c r="B27" s="23" t="inlineStr">
        <is>
          <t>Departemen</t>
        </is>
      </c>
    </row>
    <row r="28">
      <c r="B28" s="27" t="inlineStr">
        <is>
          <t>Operasional</t>
        </is>
      </c>
    </row>
    <row r="29">
      <c r="B29" s="27" t="inlineStr">
        <is>
          <t>Keuangan</t>
        </is>
      </c>
    </row>
    <row r="30">
      <c r="B30" s="27" t="inlineStr">
        <is>
          <t>Pemasaran</t>
        </is>
      </c>
    </row>
    <row r="31">
      <c r="B31" s="27" t="inlineStr">
        <is>
          <t>SDM</t>
        </is>
      </c>
    </row>
    <row r="32">
      <c r="B32" s="27" t="n"/>
    </row>
    <row r="33">
      <c r="B33" s="27" t="n"/>
    </row>
    <row r="34">
      <c r="B34" s="27" t="n"/>
    </row>
    <row r="35">
      <c r="B35" s="27" t="n"/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20">
    <mergeCell ref="C15:D15"/>
    <mergeCell ref="E16:H16"/>
    <mergeCell ref="E22:H22"/>
    <mergeCell ref="C20:D20"/>
    <mergeCell ref="E18:H18"/>
    <mergeCell ref="C16:D16"/>
    <mergeCell ref="E21:H21"/>
    <mergeCell ref="C22:D22"/>
    <mergeCell ref="E14:H14"/>
    <mergeCell ref="A3:H3"/>
    <mergeCell ref="E17:H17"/>
    <mergeCell ref="E23:H23"/>
    <mergeCell ref="C21:D21"/>
    <mergeCell ref="E20:H20"/>
    <mergeCell ref="E19:H19"/>
    <mergeCell ref="C17:D17"/>
    <mergeCell ref="C23:D23"/>
    <mergeCell ref="C19:D19"/>
    <mergeCell ref="E15:H15"/>
    <mergeCell ref="C18:D18"/>
  </mergeCells>
  <dataValidations count="3">
    <dataValidation sqref="C11:H11" showDropDown="0" showInputMessage="0" showErrorMessage="1" allowBlank="1" error="Isi angka antara 0 dan 10" type="decimal" operator="between">
      <formula1>0</formula1>
      <formula2>10</formula2>
    </dataValidation>
    <dataValidation sqref="C12:H12" showDropDown="0" showInputMessage="0" showErrorMessage="1" allowBlank="1" error="Isi angka antara 1 dan 5" type="decimal" operator="between">
      <formula1>1</formula1>
      <formula2>5</formula2>
    </dataValidation>
    <dataValidation sqref="C6:C7" showDropDown="0" showInputMessage="0" showErrorMessage="1" allowBlank="1" error="Isi angka antara 1 dan 5" type="decimal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2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3" customWidth="1" min="4" max="4"/>
    <col width="7" customWidth="1" min="5" max="5"/>
    <col width="12" customWidth="1" min="6" max="6"/>
    <col width="9" customWidth="1" min="7" max="7"/>
    <col width="9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9" customWidth="1" min="15" max="15"/>
    <col width="11" customWidth="1" min="16" max="16"/>
    <col width="9" customWidth="1" min="17" max="17"/>
    <col width="9" customWidth="1" min="18" max="18"/>
    <col width="9" customWidth="1" min="19" max="19"/>
    <col width="7" customWidth="1" min="20" max="20"/>
    <col width="17" customWidth="1" min="21" max="21"/>
    <col width="17" customWidth="1" min="22" max="22"/>
    <col width="50" customWidth="1" min="23" max="23"/>
  </cols>
  <sheetData>
    <row r="1" ht="24" customHeight="1">
      <c r="A1" s="13" t="inlineStr">
        <is>
          <t>Data Karyawan</t>
        </is>
      </c>
    </row>
    <row r="2">
      <c r="A2" s="14" t="inlineStr">
        <is>
          <t>Kapasitas 20 baris. Skor 1-5 dengan satu desimal.</t>
        </is>
      </c>
    </row>
    <row r="3">
      <c r="A3" s="15" t="inlineStr">
        <is>
          <t>VERSI DEMO: kapasitas &amp; fitur dibatasi, data simulasi. Versi lengkap: WhatsApp 089623291732</t>
        </is>
      </c>
    </row>
    <row r="5" ht="44" customHeight="1">
      <c r="A5" s="23" t="inlineStr">
        <is>
          <t>ID</t>
        </is>
      </c>
      <c r="B5" s="23" t="inlineStr">
        <is>
          <t>Nama</t>
        </is>
      </c>
      <c r="C5" s="23" t="inlineStr">
        <is>
          <t>Departemen</t>
        </is>
      </c>
      <c r="D5" s="23" t="inlineStr">
        <is>
          <t>Jabatan</t>
        </is>
      </c>
      <c r="E5" s="23" t="inlineStr">
        <is>
          <t>Grade</t>
        </is>
      </c>
      <c r="F5" s="23" t="inlineStr">
        <is>
          <t>Tgl Masuk</t>
        </is>
      </c>
      <c r="G5" s="23" t="inlineStr">
        <is>
          <t>Kinerja (1-5)</t>
        </is>
      </c>
      <c r="H5" s="23" t="inlineStr">
        <is>
          <t>Potensi (1-5)</t>
        </is>
      </c>
      <c r="I5" s="23" t="inlineStr">
        <is>
          <t>Kepemimpinan</t>
        </is>
      </c>
      <c r="J5" s="23" t="inlineStr">
        <is>
          <t>Komunikasi</t>
        </is>
      </c>
      <c r="K5" s="23" t="inlineStr">
        <is>
          <t>Analitis</t>
        </is>
      </c>
      <c r="L5" s="23" t="inlineStr">
        <is>
          <t>Kolaborasi</t>
        </is>
      </c>
      <c r="M5" s="23" t="inlineStr">
        <is>
          <t>Orientasi Hasil</t>
        </is>
      </c>
      <c r="N5" s="23" t="inlineStr">
        <is>
          <t>Inovasi</t>
        </is>
      </c>
      <c r="O5" s="23" t="inlineStr">
        <is>
          <t>Masa Kerja (thn)</t>
        </is>
      </c>
      <c r="P5" s="23" t="inlineStr">
        <is>
          <t>Skor Kompetensi</t>
        </is>
      </c>
      <c r="Q5" s="23" t="inlineStr">
        <is>
          <t>Gap Rata-rata</t>
        </is>
      </c>
      <c r="R5" s="23" t="inlineStr">
        <is>
          <t>Level Kinerja</t>
        </is>
      </c>
      <c r="S5" s="23" t="inlineStr">
        <is>
          <t>Level Potensi</t>
        </is>
      </c>
      <c r="T5" s="23" t="inlineStr">
        <is>
          <t>Kotak</t>
        </is>
      </c>
      <c r="U5" s="23" t="inlineStr">
        <is>
          <t>Nama Kotak</t>
        </is>
      </c>
      <c r="V5" s="23" t="inlineStr">
        <is>
          <t>Fokus Pengembangan</t>
        </is>
      </c>
      <c r="W5" s="23" t="inlineStr">
        <is>
          <t>Tindakan</t>
        </is>
      </c>
    </row>
    <row r="6">
      <c r="A6" s="27" t="inlineStr">
        <is>
          <t>K-001</t>
        </is>
      </c>
      <c r="B6" s="27" t="inlineStr">
        <is>
          <t>Yusuf Kusuma</t>
        </is>
      </c>
      <c r="C6" s="27" t="inlineStr">
        <is>
          <t>SDM</t>
        </is>
      </c>
      <c r="D6" s="27" t="inlineStr">
        <is>
          <t>Staf</t>
        </is>
      </c>
      <c r="E6" s="31" t="inlineStr">
        <is>
          <t>G6</t>
        </is>
      </c>
      <c r="F6" s="32" t="n">
        <v>43667</v>
      </c>
      <c r="G6" s="33" t="n">
        <v>4.1</v>
      </c>
      <c r="H6" s="33" t="n">
        <v>4</v>
      </c>
      <c r="I6" s="33" t="n">
        <v>3.5</v>
      </c>
      <c r="J6" s="33" t="n">
        <v>3.8</v>
      </c>
      <c r="K6" s="33" t="n">
        <v>3.4</v>
      </c>
      <c r="L6" s="33" t="n">
        <v>2.7</v>
      </c>
      <c r="M6" s="33" t="n">
        <v>4.9</v>
      </c>
      <c r="N6" s="33" t="n">
        <v>3.4</v>
      </c>
      <c r="O6" s="34">
        <f>IF($A6="","",ROUND((PARAMETER!$C$5-F6)/365.25,1))</f>
        <v/>
      </c>
      <c r="P6" s="35">
        <f>IF($A6="","",SUMPRODUCT(I6:N6,PARAMETER!$C$11:$H$11)/SUM(PARAMETER!$C$11:$H$11))</f>
        <v/>
      </c>
      <c r="Q6" s="35">
        <f>IF($A6="","",SUMPRODUCT((PARAMETER!$C$12:$H$12-I6:N6&gt;0)*(PARAMETER!$C$12:$H$12-I6:N6))/6)</f>
        <v/>
      </c>
      <c r="R6" s="26">
        <f>IF($A6="","",IF(G6&gt;=PARAMETER!$C$6,3,IF(G6&gt;=PARAMETER!$C$7,2,1)))</f>
        <v/>
      </c>
      <c r="S6" s="26">
        <f>IF($A6="","",IF(H6&gt;=PARAMETER!$C$6,3,IF(H6&gt;=PARAMETER!$C$7,2,1)))</f>
        <v/>
      </c>
      <c r="T6" s="26">
        <f>IF($A6="","",(R6-1)*3+S6)</f>
        <v/>
      </c>
      <c r="U6" s="36">
        <f>IF($A6="","",INDEX(PARAMETER!$C$15:$C$23,T6))</f>
        <v/>
      </c>
      <c r="V6" s="36">
        <f>IF($A6="","",INDEX(PARAMETER!$C$10:$H$10,MATCH(MIN(I6:N6),I6:N6,0)))</f>
        <v/>
      </c>
      <c r="W6" s="36">
        <f>IF($A6="","",INDEX(PARAMETER!$E$15:$E$23,T6))</f>
        <v/>
      </c>
    </row>
    <row r="7">
      <c r="A7" s="27" t="inlineStr">
        <is>
          <t>K-002</t>
        </is>
      </c>
      <c r="B7" s="27" t="inlineStr">
        <is>
          <t>Wulan Lestari</t>
        </is>
      </c>
      <c r="C7" s="27" t="inlineStr">
        <is>
          <t>Pemasaran</t>
        </is>
      </c>
      <c r="D7" s="27" t="inlineStr">
        <is>
          <t>Staf</t>
        </is>
      </c>
      <c r="E7" s="31" t="inlineStr">
        <is>
          <t>G4</t>
        </is>
      </c>
      <c r="F7" s="32" t="n">
        <v>46001</v>
      </c>
      <c r="G7" s="33" t="n">
        <v>3.7</v>
      </c>
      <c r="H7" s="33" t="n">
        <v>3.4</v>
      </c>
      <c r="I7" s="33" t="n">
        <v>4.1</v>
      </c>
      <c r="J7" s="33" t="n">
        <v>4.2</v>
      </c>
      <c r="K7" s="33" t="n">
        <v>3.7</v>
      </c>
      <c r="L7" s="33" t="n">
        <v>3.6</v>
      </c>
      <c r="M7" s="33" t="n">
        <v>3.1</v>
      </c>
      <c r="N7" s="33" t="n">
        <v>3.2</v>
      </c>
      <c r="O7" s="34">
        <f>IF($A7="","",ROUND((PARAMETER!$C$5-F7)/365.25,1))</f>
        <v/>
      </c>
      <c r="P7" s="35">
        <f>IF($A7="","",SUMPRODUCT(I7:N7,PARAMETER!$C$11:$H$11)/SUM(PARAMETER!$C$11:$H$11))</f>
        <v/>
      </c>
      <c r="Q7" s="35">
        <f>IF($A7="","",SUMPRODUCT((PARAMETER!$C$12:$H$12-I7:N7&gt;0)*(PARAMETER!$C$12:$H$12-I7:N7))/6)</f>
        <v/>
      </c>
      <c r="R7" s="26">
        <f>IF($A7="","",IF(G7&gt;=PARAMETER!$C$6,3,IF(G7&gt;=PARAMETER!$C$7,2,1)))</f>
        <v/>
      </c>
      <c r="S7" s="26">
        <f>IF($A7="","",IF(H7&gt;=PARAMETER!$C$6,3,IF(H7&gt;=PARAMETER!$C$7,2,1)))</f>
        <v/>
      </c>
      <c r="T7" s="26">
        <f>IF($A7="","",(R7-1)*3+S7)</f>
        <v/>
      </c>
      <c r="U7" s="36">
        <f>IF($A7="","",INDEX(PARAMETER!$C$15:$C$23,T7))</f>
        <v/>
      </c>
      <c r="V7" s="36">
        <f>IF($A7="","",INDEX(PARAMETER!$C$10:$H$10,MATCH(MIN(I7:N7),I7:N7,0)))</f>
        <v/>
      </c>
      <c r="W7" s="36">
        <f>IF($A7="","",INDEX(PARAMETER!$E$15:$E$23,T7))</f>
        <v/>
      </c>
    </row>
    <row r="8">
      <c r="A8" s="27" t="inlineStr">
        <is>
          <t>K-003</t>
        </is>
      </c>
      <c r="B8" s="27" t="inlineStr">
        <is>
          <t>Kevin Lestari</t>
        </is>
      </c>
      <c r="C8" s="27" t="inlineStr">
        <is>
          <t>Operasional</t>
        </is>
      </c>
      <c r="D8" s="27" t="inlineStr">
        <is>
          <t>Supervisor</t>
        </is>
      </c>
      <c r="E8" s="31" t="inlineStr">
        <is>
          <t>G6</t>
        </is>
      </c>
      <c r="F8" s="32" t="n">
        <v>46165</v>
      </c>
      <c r="G8" s="33" t="n">
        <v>4.2</v>
      </c>
      <c r="H8" s="33" t="n">
        <v>4.1</v>
      </c>
      <c r="I8" s="33" t="n">
        <v>3.6</v>
      </c>
      <c r="J8" s="33" t="n">
        <v>4.5</v>
      </c>
      <c r="K8" s="33" t="n">
        <v>4</v>
      </c>
      <c r="L8" s="33" t="n">
        <v>3.8</v>
      </c>
      <c r="M8" s="33" t="n">
        <v>3.7</v>
      </c>
      <c r="N8" s="33" t="n">
        <v>3.8</v>
      </c>
      <c r="O8" s="34">
        <f>IF($A8="","",ROUND((PARAMETER!$C$5-F8)/365.25,1))</f>
        <v/>
      </c>
      <c r="P8" s="35">
        <f>IF($A8="","",SUMPRODUCT(I8:N8,PARAMETER!$C$11:$H$11)/SUM(PARAMETER!$C$11:$H$11))</f>
        <v/>
      </c>
      <c r="Q8" s="35">
        <f>IF($A8="","",SUMPRODUCT((PARAMETER!$C$12:$H$12-I8:N8&gt;0)*(PARAMETER!$C$12:$H$12-I8:N8))/6)</f>
        <v/>
      </c>
      <c r="R8" s="26">
        <f>IF($A8="","",IF(G8&gt;=PARAMETER!$C$6,3,IF(G8&gt;=PARAMETER!$C$7,2,1)))</f>
        <v/>
      </c>
      <c r="S8" s="26">
        <f>IF($A8="","",IF(H8&gt;=PARAMETER!$C$6,3,IF(H8&gt;=PARAMETER!$C$7,2,1)))</f>
        <v/>
      </c>
      <c r="T8" s="26">
        <f>IF($A8="","",(R8-1)*3+S8)</f>
        <v/>
      </c>
      <c r="U8" s="36">
        <f>IF($A8="","",INDEX(PARAMETER!$C$15:$C$23,T8))</f>
        <v/>
      </c>
      <c r="V8" s="36">
        <f>IF($A8="","",INDEX(PARAMETER!$C$10:$H$10,MATCH(MIN(I8:N8),I8:N8,0)))</f>
        <v/>
      </c>
      <c r="W8" s="36">
        <f>IF($A8="","",INDEX(PARAMETER!$E$15:$E$23,T8))</f>
        <v/>
      </c>
    </row>
    <row r="9">
      <c r="A9" s="27" t="inlineStr">
        <is>
          <t>K-004</t>
        </is>
      </c>
      <c r="B9" s="27" t="inlineStr">
        <is>
          <t>Salsa Nugroho</t>
        </is>
      </c>
      <c r="C9" s="27" t="inlineStr">
        <is>
          <t>SDM</t>
        </is>
      </c>
      <c r="D9" s="27" t="inlineStr">
        <is>
          <t>Supervisor</t>
        </is>
      </c>
      <c r="E9" s="31" t="inlineStr">
        <is>
          <t>G3</t>
        </is>
      </c>
      <c r="F9" s="32" t="n">
        <v>46110</v>
      </c>
      <c r="G9" s="33" t="n">
        <v>3.5</v>
      </c>
      <c r="H9" s="33" t="n">
        <v>3.4</v>
      </c>
      <c r="I9" s="33" t="n">
        <v>3</v>
      </c>
      <c r="J9" s="33" t="n">
        <v>3.2</v>
      </c>
      <c r="K9" s="33" t="n">
        <v>3.4</v>
      </c>
      <c r="L9" s="33" t="n">
        <v>3.8</v>
      </c>
      <c r="M9" s="33" t="n">
        <v>3.1</v>
      </c>
      <c r="N9" s="33" t="n">
        <v>3</v>
      </c>
      <c r="O9" s="34">
        <f>IF($A9="","",ROUND((PARAMETER!$C$5-F9)/365.25,1))</f>
        <v/>
      </c>
      <c r="P9" s="35">
        <f>IF($A9="","",SUMPRODUCT(I9:N9,PARAMETER!$C$11:$H$11)/SUM(PARAMETER!$C$11:$H$11))</f>
        <v/>
      </c>
      <c r="Q9" s="35">
        <f>IF($A9="","",SUMPRODUCT((PARAMETER!$C$12:$H$12-I9:N9&gt;0)*(PARAMETER!$C$12:$H$12-I9:N9))/6)</f>
        <v/>
      </c>
      <c r="R9" s="26">
        <f>IF($A9="","",IF(G9&gt;=PARAMETER!$C$6,3,IF(G9&gt;=PARAMETER!$C$7,2,1)))</f>
        <v/>
      </c>
      <c r="S9" s="26">
        <f>IF($A9="","",IF(H9&gt;=PARAMETER!$C$6,3,IF(H9&gt;=PARAMETER!$C$7,2,1)))</f>
        <v/>
      </c>
      <c r="T9" s="26">
        <f>IF($A9="","",(R9-1)*3+S9)</f>
        <v/>
      </c>
      <c r="U9" s="36">
        <f>IF($A9="","",INDEX(PARAMETER!$C$15:$C$23,T9))</f>
        <v/>
      </c>
      <c r="V9" s="36">
        <f>IF($A9="","",INDEX(PARAMETER!$C$10:$H$10,MATCH(MIN(I9:N9),I9:N9,0)))</f>
        <v/>
      </c>
      <c r="W9" s="36">
        <f>IF($A9="","",INDEX(PARAMETER!$E$15:$E$23,T9))</f>
        <v/>
      </c>
    </row>
    <row r="10">
      <c r="A10" s="27" t="inlineStr">
        <is>
          <t>K-005</t>
        </is>
      </c>
      <c r="B10" s="27" t="inlineStr">
        <is>
          <t>Gilang Hidayat</t>
        </is>
      </c>
      <c r="C10" s="27" t="inlineStr">
        <is>
          <t>SDM</t>
        </is>
      </c>
      <c r="D10" s="27" t="inlineStr">
        <is>
          <t>Staf</t>
        </is>
      </c>
      <c r="E10" s="31" t="inlineStr">
        <is>
          <t>G6</t>
        </is>
      </c>
      <c r="F10" s="32" t="n">
        <v>44893</v>
      </c>
      <c r="G10" s="33" t="n">
        <v>4</v>
      </c>
      <c r="H10" s="33" t="n">
        <v>4.1</v>
      </c>
      <c r="I10" s="33" t="n">
        <v>3.2</v>
      </c>
      <c r="J10" s="33" t="n">
        <v>3.9</v>
      </c>
      <c r="K10" s="33" t="n">
        <v>3.9</v>
      </c>
      <c r="L10" s="33" t="n">
        <v>4.3</v>
      </c>
      <c r="M10" s="33" t="n">
        <v>3.7</v>
      </c>
      <c r="N10" s="33" t="n">
        <v>3.3</v>
      </c>
      <c r="O10" s="34">
        <f>IF($A10="","",ROUND((PARAMETER!$C$5-F10)/365.25,1))</f>
        <v/>
      </c>
      <c r="P10" s="35">
        <f>IF($A10="","",SUMPRODUCT(I10:N10,PARAMETER!$C$11:$H$11)/SUM(PARAMETER!$C$11:$H$11))</f>
        <v/>
      </c>
      <c r="Q10" s="35">
        <f>IF($A10="","",SUMPRODUCT((PARAMETER!$C$12:$H$12-I10:N10&gt;0)*(PARAMETER!$C$12:$H$12-I10:N10))/6)</f>
        <v/>
      </c>
      <c r="R10" s="26">
        <f>IF($A10="","",IF(G10&gt;=PARAMETER!$C$6,3,IF(G10&gt;=PARAMETER!$C$7,2,1)))</f>
        <v/>
      </c>
      <c r="S10" s="26">
        <f>IF($A10="","",IF(H10&gt;=PARAMETER!$C$6,3,IF(H10&gt;=PARAMETER!$C$7,2,1)))</f>
        <v/>
      </c>
      <c r="T10" s="26">
        <f>IF($A10="","",(R10-1)*3+S10)</f>
        <v/>
      </c>
      <c r="U10" s="36">
        <f>IF($A10="","",INDEX(PARAMETER!$C$15:$C$23,T10))</f>
        <v/>
      </c>
      <c r="V10" s="36">
        <f>IF($A10="","",INDEX(PARAMETER!$C$10:$H$10,MATCH(MIN(I10:N10),I10:N10,0)))</f>
        <v/>
      </c>
      <c r="W10" s="36">
        <f>IF($A10="","",INDEX(PARAMETER!$E$15:$E$23,T10))</f>
        <v/>
      </c>
    </row>
    <row r="11">
      <c r="A11" s="27" t="inlineStr">
        <is>
          <t>K-006</t>
        </is>
      </c>
      <c r="B11" s="27" t="inlineStr">
        <is>
          <t>Omar Setiawan</t>
        </is>
      </c>
      <c r="C11" s="27" t="inlineStr">
        <is>
          <t>SDM</t>
        </is>
      </c>
      <c r="D11" s="27" t="inlineStr">
        <is>
          <t>Senior Staf</t>
        </is>
      </c>
      <c r="E11" s="31" t="inlineStr">
        <is>
          <t>G3</t>
        </is>
      </c>
      <c r="F11" s="32" t="n">
        <v>45229</v>
      </c>
      <c r="G11" s="33" t="n">
        <v>4.4</v>
      </c>
      <c r="H11" s="33" t="n">
        <v>4.2</v>
      </c>
      <c r="I11" s="33" t="n">
        <v>4.4</v>
      </c>
      <c r="J11" s="33" t="n">
        <v>5</v>
      </c>
      <c r="K11" s="33" t="n">
        <v>3.8</v>
      </c>
      <c r="L11" s="33" t="n">
        <v>5</v>
      </c>
      <c r="M11" s="33" t="n">
        <v>3.7</v>
      </c>
      <c r="N11" s="33" t="n">
        <v>4</v>
      </c>
      <c r="O11" s="34">
        <f>IF($A11="","",ROUND((PARAMETER!$C$5-F11)/365.25,1))</f>
        <v/>
      </c>
      <c r="P11" s="35">
        <f>IF($A11="","",SUMPRODUCT(I11:N11,PARAMETER!$C$11:$H$11)/SUM(PARAMETER!$C$11:$H$11))</f>
        <v/>
      </c>
      <c r="Q11" s="35">
        <f>IF($A11="","",SUMPRODUCT((PARAMETER!$C$12:$H$12-I11:N11&gt;0)*(PARAMETER!$C$12:$H$12-I11:N11))/6)</f>
        <v/>
      </c>
      <c r="R11" s="26">
        <f>IF($A11="","",IF(G11&gt;=PARAMETER!$C$6,3,IF(G11&gt;=PARAMETER!$C$7,2,1)))</f>
        <v/>
      </c>
      <c r="S11" s="26">
        <f>IF($A11="","",IF(H11&gt;=PARAMETER!$C$6,3,IF(H11&gt;=PARAMETER!$C$7,2,1)))</f>
        <v/>
      </c>
      <c r="T11" s="26">
        <f>IF($A11="","",(R11-1)*3+S11)</f>
        <v/>
      </c>
      <c r="U11" s="36">
        <f>IF($A11="","",INDEX(PARAMETER!$C$15:$C$23,T11))</f>
        <v/>
      </c>
      <c r="V11" s="36">
        <f>IF($A11="","",INDEX(PARAMETER!$C$10:$H$10,MATCH(MIN(I11:N11),I11:N11,0)))</f>
        <v/>
      </c>
      <c r="W11" s="36">
        <f>IF($A11="","",INDEX(PARAMETER!$E$15:$E$23,T11))</f>
        <v/>
      </c>
    </row>
    <row r="12">
      <c r="A12" s="27" t="inlineStr">
        <is>
          <t>K-007</t>
        </is>
      </c>
      <c r="B12" s="27" t="inlineStr">
        <is>
          <t>Omar Nugroho</t>
        </is>
      </c>
      <c r="C12" s="27" t="inlineStr">
        <is>
          <t>Operasional</t>
        </is>
      </c>
      <c r="D12" s="27" t="inlineStr">
        <is>
          <t>Spesialis</t>
        </is>
      </c>
      <c r="E12" s="31" t="inlineStr">
        <is>
          <t>G5</t>
        </is>
      </c>
      <c r="F12" s="32" t="n">
        <v>44679</v>
      </c>
      <c r="G12" s="33" t="n">
        <v>4.9</v>
      </c>
      <c r="H12" s="33" t="n">
        <v>3.9</v>
      </c>
      <c r="I12" s="33" t="n">
        <v>3.9</v>
      </c>
      <c r="J12" s="33" t="n">
        <v>4</v>
      </c>
      <c r="K12" s="33" t="n">
        <v>5</v>
      </c>
      <c r="L12" s="33" t="n">
        <v>4.2</v>
      </c>
      <c r="M12" s="33" t="n">
        <v>4.3</v>
      </c>
      <c r="N12" s="33" t="n">
        <v>4.3</v>
      </c>
      <c r="O12" s="34">
        <f>IF($A12="","",ROUND((PARAMETER!$C$5-F12)/365.25,1))</f>
        <v/>
      </c>
      <c r="P12" s="35">
        <f>IF($A12="","",SUMPRODUCT(I12:N12,PARAMETER!$C$11:$H$11)/SUM(PARAMETER!$C$11:$H$11))</f>
        <v/>
      </c>
      <c r="Q12" s="35">
        <f>IF($A12="","",SUMPRODUCT((PARAMETER!$C$12:$H$12-I12:N12&gt;0)*(PARAMETER!$C$12:$H$12-I12:N12))/6)</f>
        <v/>
      </c>
      <c r="R12" s="26">
        <f>IF($A12="","",IF(G12&gt;=PARAMETER!$C$6,3,IF(G12&gt;=PARAMETER!$C$7,2,1)))</f>
        <v/>
      </c>
      <c r="S12" s="26">
        <f>IF($A12="","",IF(H12&gt;=PARAMETER!$C$6,3,IF(H12&gt;=PARAMETER!$C$7,2,1)))</f>
        <v/>
      </c>
      <c r="T12" s="26">
        <f>IF($A12="","",(R12-1)*3+S12)</f>
        <v/>
      </c>
      <c r="U12" s="36">
        <f>IF($A12="","",INDEX(PARAMETER!$C$15:$C$23,T12))</f>
        <v/>
      </c>
      <c r="V12" s="36">
        <f>IF($A12="","",INDEX(PARAMETER!$C$10:$H$10,MATCH(MIN(I12:N12),I12:N12,0)))</f>
        <v/>
      </c>
      <c r="W12" s="36">
        <f>IF($A12="","",INDEX(PARAMETER!$E$15:$E$23,T12))</f>
        <v/>
      </c>
    </row>
    <row r="13">
      <c r="A13" s="27" t="inlineStr">
        <is>
          <t>K-008</t>
        </is>
      </c>
      <c r="B13" s="27" t="inlineStr">
        <is>
          <t>Putra Santoso</t>
        </is>
      </c>
      <c r="C13" s="27" t="inlineStr">
        <is>
          <t>Pemasaran</t>
        </is>
      </c>
      <c r="D13" s="27" t="inlineStr">
        <is>
          <t>Senior Staf</t>
        </is>
      </c>
      <c r="E13" s="31" t="inlineStr">
        <is>
          <t>G5</t>
        </is>
      </c>
      <c r="F13" s="32" t="n">
        <v>44710</v>
      </c>
      <c r="G13" s="33" t="n">
        <v>3.5</v>
      </c>
      <c r="H13" s="33" t="n">
        <v>2.5</v>
      </c>
      <c r="I13" s="33" t="n">
        <v>3.8</v>
      </c>
      <c r="J13" s="33" t="n">
        <v>4.5</v>
      </c>
      <c r="K13" s="33" t="n">
        <v>3.5</v>
      </c>
      <c r="L13" s="33" t="n">
        <v>4.6</v>
      </c>
      <c r="M13" s="33" t="n">
        <v>3.5</v>
      </c>
      <c r="N13" s="33" t="n">
        <v>4.1</v>
      </c>
      <c r="O13" s="34">
        <f>IF($A13="","",ROUND((PARAMETER!$C$5-F13)/365.25,1))</f>
        <v/>
      </c>
      <c r="P13" s="35">
        <f>IF($A13="","",SUMPRODUCT(I13:N13,PARAMETER!$C$11:$H$11)/SUM(PARAMETER!$C$11:$H$11))</f>
        <v/>
      </c>
      <c r="Q13" s="35">
        <f>IF($A13="","",SUMPRODUCT((PARAMETER!$C$12:$H$12-I13:N13&gt;0)*(PARAMETER!$C$12:$H$12-I13:N13))/6)</f>
        <v/>
      </c>
      <c r="R13" s="26">
        <f>IF($A13="","",IF(G13&gt;=PARAMETER!$C$6,3,IF(G13&gt;=PARAMETER!$C$7,2,1)))</f>
        <v/>
      </c>
      <c r="S13" s="26">
        <f>IF($A13="","",IF(H13&gt;=PARAMETER!$C$6,3,IF(H13&gt;=PARAMETER!$C$7,2,1)))</f>
        <v/>
      </c>
      <c r="T13" s="26">
        <f>IF($A13="","",(R13-1)*3+S13)</f>
        <v/>
      </c>
      <c r="U13" s="36">
        <f>IF($A13="","",INDEX(PARAMETER!$C$15:$C$23,T13))</f>
        <v/>
      </c>
      <c r="V13" s="36">
        <f>IF($A13="","",INDEX(PARAMETER!$C$10:$H$10,MATCH(MIN(I13:N13),I13:N13,0)))</f>
        <v/>
      </c>
      <c r="W13" s="36">
        <f>IF($A13="","",INDEX(PARAMETER!$E$15:$E$23,T13))</f>
        <v/>
      </c>
    </row>
    <row r="14">
      <c r="A14" s="27" t="inlineStr">
        <is>
          <t>K-009</t>
        </is>
      </c>
      <c r="B14" s="27" t="inlineStr">
        <is>
          <t>Hana Kusuma</t>
        </is>
      </c>
      <c r="C14" s="27" t="inlineStr">
        <is>
          <t>Operasional</t>
        </is>
      </c>
      <c r="D14" s="27" t="inlineStr">
        <is>
          <t>Manajer</t>
        </is>
      </c>
      <c r="E14" s="31" t="inlineStr">
        <is>
          <t>G5</t>
        </is>
      </c>
      <c r="F14" s="32" t="n">
        <v>45097</v>
      </c>
      <c r="G14" s="33" t="n">
        <v>3.4</v>
      </c>
      <c r="H14" s="33" t="n">
        <v>3.5</v>
      </c>
      <c r="I14" s="33" t="n">
        <v>3.2</v>
      </c>
      <c r="J14" s="33" t="n">
        <v>3.2</v>
      </c>
      <c r="K14" s="33" t="n">
        <v>3.4</v>
      </c>
      <c r="L14" s="33" t="n">
        <v>3.1</v>
      </c>
      <c r="M14" s="33" t="n">
        <v>2.9</v>
      </c>
      <c r="N14" s="33" t="n">
        <v>3</v>
      </c>
      <c r="O14" s="34">
        <f>IF($A14="","",ROUND((PARAMETER!$C$5-F14)/365.25,1))</f>
        <v/>
      </c>
      <c r="P14" s="35">
        <f>IF($A14="","",SUMPRODUCT(I14:N14,PARAMETER!$C$11:$H$11)/SUM(PARAMETER!$C$11:$H$11))</f>
        <v/>
      </c>
      <c r="Q14" s="35">
        <f>IF($A14="","",SUMPRODUCT((PARAMETER!$C$12:$H$12-I14:N14&gt;0)*(PARAMETER!$C$12:$H$12-I14:N14))/6)</f>
        <v/>
      </c>
      <c r="R14" s="26">
        <f>IF($A14="","",IF(G14&gt;=PARAMETER!$C$6,3,IF(G14&gt;=PARAMETER!$C$7,2,1)))</f>
        <v/>
      </c>
      <c r="S14" s="26">
        <f>IF($A14="","",IF(H14&gt;=PARAMETER!$C$6,3,IF(H14&gt;=PARAMETER!$C$7,2,1)))</f>
        <v/>
      </c>
      <c r="T14" s="26">
        <f>IF($A14="","",(R14-1)*3+S14)</f>
        <v/>
      </c>
      <c r="U14" s="36">
        <f>IF($A14="","",INDEX(PARAMETER!$C$15:$C$23,T14))</f>
        <v/>
      </c>
      <c r="V14" s="36">
        <f>IF($A14="","",INDEX(PARAMETER!$C$10:$H$10,MATCH(MIN(I14:N14),I14:N14,0)))</f>
        <v/>
      </c>
      <c r="W14" s="36">
        <f>IF($A14="","",INDEX(PARAMETER!$E$15:$E$23,T14))</f>
        <v/>
      </c>
    </row>
    <row r="15">
      <c r="A15" s="27" t="inlineStr">
        <is>
          <t>K-010</t>
        </is>
      </c>
      <c r="B15" s="27" t="inlineStr">
        <is>
          <t>Salsa Kusuma</t>
        </is>
      </c>
      <c r="C15" s="27" t="inlineStr">
        <is>
          <t>Operasional</t>
        </is>
      </c>
      <c r="D15" s="27" t="inlineStr">
        <is>
          <t>Spesialis</t>
        </is>
      </c>
      <c r="E15" s="31" t="inlineStr">
        <is>
          <t>G3</t>
        </is>
      </c>
      <c r="F15" s="32" t="n">
        <v>44379</v>
      </c>
      <c r="G15" s="33" t="n">
        <v>3.9</v>
      </c>
      <c r="H15" s="33" t="n">
        <v>3.9</v>
      </c>
      <c r="I15" s="33" t="n">
        <v>3.9</v>
      </c>
      <c r="J15" s="33" t="n">
        <v>3.8</v>
      </c>
      <c r="K15" s="33" t="n">
        <v>4.8</v>
      </c>
      <c r="L15" s="33" t="n">
        <v>4.8</v>
      </c>
      <c r="M15" s="33" t="n">
        <v>3.6</v>
      </c>
      <c r="N15" s="33" t="n">
        <v>4</v>
      </c>
      <c r="O15" s="34">
        <f>IF($A15="","",ROUND((PARAMETER!$C$5-F15)/365.25,1))</f>
        <v/>
      </c>
      <c r="P15" s="35">
        <f>IF($A15="","",SUMPRODUCT(I15:N15,PARAMETER!$C$11:$H$11)/SUM(PARAMETER!$C$11:$H$11))</f>
        <v/>
      </c>
      <c r="Q15" s="35">
        <f>IF($A15="","",SUMPRODUCT((PARAMETER!$C$12:$H$12-I15:N15&gt;0)*(PARAMETER!$C$12:$H$12-I15:N15))/6)</f>
        <v/>
      </c>
      <c r="R15" s="26">
        <f>IF($A15="","",IF(G15&gt;=PARAMETER!$C$6,3,IF(G15&gt;=PARAMETER!$C$7,2,1)))</f>
        <v/>
      </c>
      <c r="S15" s="26">
        <f>IF($A15="","",IF(H15&gt;=PARAMETER!$C$6,3,IF(H15&gt;=PARAMETER!$C$7,2,1)))</f>
        <v/>
      </c>
      <c r="T15" s="26">
        <f>IF($A15="","",(R15-1)*3+S15)</f>
        <v/>
      </c>
      <c r="U15" s="36">
        <f>IF($A15="","",INDEX(PARAMETER!$C$15:$C$23,T15))</f>
        <v/>
      </c>
      <c r="V15" s="36">
        <f>IF($A15="","",INDEX(PARAMETER!$C$10:$H$10,MATCH(MIN(I15:N15),I15:N15,0)))</f>
        <v/>
      </c>
      <c r="W15" s="36">
        <f>IF($A15="","",INDEX(PARAMETER!$E$15:$E$23,T15))</f>
        <v/>
      </c>
    </row>
    <row r="16">
      <c r="A16" s="27" t="inlineStr">
        <is>
          <t>K-011</t>
        </is>
      </c>
      <c r="B16" s="27" t="inlineStr">
        <is>
          <t>Kevin Santoso</t>
        </is>
      </c>
      <c r="C16" s="27" t="inlineStr">
        <is>
          <t>Pemasaran</t>
        </is>
      </c>
      <c r="D16" s="27" t="inlineStr">
        <is>
          <t>Staf</t>
        </is>
      </c>
      <c r="E16" s="31" t="inlineStr">
        <is>
          <t>G6</t>
        </is>
      </c>
      <c r="F16" s="32" t="n">
        <v>45170</v>
      </c>
      <c r="G16" s="33" t="n">
        <v>5</v>
      </c>
      <c r="H16" s="33" t="n">
        <v>4.1</v>
      </c>
      <c r="I16" s="33" t="n">
        <v>3.5</v>
      </c>
      <c r="J16" s="33" t="n">
        <v>4.2</v>
      </c>
      <c r="K16" s="33" t="n">
        <v>5</v>
      </c>
      <c r="L16" s="33" t="n">
        <v>4.3</v>
      </c>
      <c r="M16" s="33" t="n">
        <v>3.5</v>
      </c>
      <c r="N16" s="33" t="n">
        <v>3.8</v>
      </c>
      <c r="O16" s="34">
        <f>IF($A16="","",ROUND((PARAMETER!$C$5-F16)/365.25,1))</f>
        <v/>
      </c>
      <c r="P16" s="35">
        <f>IF($A16="","",SUMPRODUCT(I16:N16,PARAMETER!$C$11:$H$11)/SUM(PARAMETER!$C$11:$H$11))</f>
        <v/>
      </c>
      <c r="Q16" s="35">
        <f>IF($A16="","",SUMPRODUCT((PARAMETER!$C$12:$H$12-I16:N16&gt;0)*(PARAMETER!$C$12:$H$12-I16:N16))/6)</f>
        <v/>
      </c>
      <c r="R16" s="26">
        <f>IF($A16="","",IF(G16&gt;=PARAMETER!$C$6,3,IF(G16&gt;=PARAMETER!$C$7,2,1)))</f>
        <v/>
      </c>
      <c r="S16" s="26">
        <f>IF($A16="","",IF(H16&gt;=PARAMETER!$C$6,3,IF(H16&gt;=PARAMETER!$C$7,2,1)))</f>
        <v/>
      </c>
      <c r="T16" s="26">
        <f>IF($A16="","",(R16-1)*3+S16)</f>
        <v/>
      </c>
      <c r="U16" s="36">
        <f>IF($A16="","",INDEX(PARAMETER!$C$15:$C$23,T16))</f>
        <v/>
      </c>
      <c r="V16" s="36">
        <f>IF($A16="","",INDEX(PARAMETER!$C$10:$H$10,MATCH(MIN(I16:N16),I16:N16,0)))</f>
        <v/>
      </c>
      <c r="W16" s="36">
        <f>IF($A16="","",INDEX(PARAMETER!$E$15:$E$23,T16))</f>
        <v/>
      </c>
    </row>
    <row r="17">
      <c r="A17" s="27" t="inlineStr">
        <is>
          <t>K-012</t>
        </is>
      </c>
      <c r="B17" s="27" t="inlineStr">
        <is>
          <t>Hana Permana</t>
        </is>
      </c>
      <c r="C17" s="27" t="inlineStr">
        <is>
          <t>Keuangan</t>
        </is>
      </c>
      <c r="D17" s="27" t="inlineStr">
        <is>
          <t>Manajer</t>
        </is>
      </c>
      <c r="E17" s="31" t="inlineStr">
        <is>
          <t>G4</t>
        </is>
      </c>
      <c r="F17" s="32" t="n">
        <v>42949</v>
      </c>
      <c r="G17" s="33" t="n">
        <v>3.9</v>
      </c>
      <c r="H17" s="33" t="n">
        <v>3.1</v>
      </c>
      <c r="I17" s="33" t="n">
        <v>3.7</v>
      </c>
      <c r="J17" s="33" t="n">
        <v>3.4</v>
      </c>
      <c r="K17" s="33" t="n">
        <v>3.5</v>
      </c>
      <c r="L17" s="33" t="n">
        <v>3.5</v>
      </c>
      <c r="M17" s="33" t="n">
        <v>4.2</v>
      </c>
      <c r="N17" s="33" t="n">
        <v>3.4</v>
      </c>
      <c r="O17" s="34">
        <f>IF($A17="","",ROUND((PARAMETER!$C$5-F17)/365.25,1))</f>
        <v/>
      </c>
      <c r="P17" s="35">
        <f>IF($A17="","",SUMPRODUCT(I17:N17,PARAMETER!$C$11:$H$11)/SUM(PARAMETER!$C$11:$H$11))</f>
        <v/>
      </c>
      <c r="Q17" s="35">
        <f>IF($A17="","",SUMPRODUCT((PARAMETER!$C$12:$H$12-I17:N17&gt;0)*(PARAMETER!$C$12:$H$12-I17:N17))/6)</f>
        <v/>
      </c>
      <c r="R17" s="26">
        <f>IF($A17="","",IF(G17&gt;=PARAMETER!$C$6,3,IF(G17&gt;=PARAMETER!$C$7,2,1)))</f>
        <v/>
      </c>
      <c r="S17" s="26">
        <f>IF($A17="","",IF(H17&gt;=PARAMETER!$C$6,3,IF(H17&gt;=PARAMETER!$C$7,2,1)))</f>
        <v/>
      </c>
      <c r="T17" s="26">
        <f>IF($A17="","",(R17-1)*3+S17)</f>
        <v/>
      </c>
      <c r="U17" s="36">
        <f>IF($A17="","",INDEX(PARAMETER!$C$15:$C$23,T17))</f>
        <v/>
      </c>
      <c r="V17" s="36">
        <f>IF($A17="","",INDEX(PARAMETER!$C$10:$H$10,MATCH(MIN(I17:N17),I17:N17,0)))</f>
        <v/>
      </c>
      <c r="W17" s="36">
        <f>IF($A17="","",INDEX(PARAMETER!$E$15:$E$23,T17))</f>
        <v/>
      </c>
    </row>
    <row r="18">
      <c r="A18" s="27" t="n"/>
      <c r="B18" s="27" t="n"/>
      <c r="C18" s="27" t="n"/>
      <c r="D18" s="27" t="n"/>
      <c r="E18" s="31" t="n"/>
      <c r="F18" s="32" t="n"/>
      <c r="G18" s="33" t="n"/>
      <c r="H18" s="33" t="n"/>
      <c r="I18" s="33" t="n"/>
      <c r="J18" s="33" t="n"/>
      <c r="K18" s="33" t="n"/>
      <c r="L18" s="33" t="n"/>
      <c r="M18" s="33" t="n"/>
      <c r="N18" s="33" t="n"/>
      <c r="O18" s="34">
        <f>IF($A18="","",ROUND((PARAMETER!$C$5-F18)/365.25,1))</f>
        <v/>
      </c>
      <c r="P18" s="35">
        <f>IF($A18="","",SUMPRODUCT(I18:N18,PARAMETER!$C$11:$H$11)/SUM(PARAMETER!$C$11:$H$11))</f>
        <v/>
      </c>
      <c r="Q18" s="35">
        <f>IF($A18="","",SUMPRODUCT((PARAMETER!$C$12:$H$12-I18:N18&gt;0)*(PARAMETER!$C$12:$H$12-I18:N18))/6)</f>
        <v/>
      </c>
      <c r="R18" s="26">
        <f>IF($A18="","",IF(G18&gt;=PARAMETER!$C$6,3,IF(G18&gt;=PARAMETER!$C$7,2,1)))</f>
        <v/>
      </c>
      <c r="S18" s="26">
        <f>IF($A18="","",IF(H18&gt;=PARAMETER!$C$6,3,IF(H18&gt;=PARAMETER!$C$7,2,1)))</f>
        <v/>
      </c>
      <c r="T18" s="26">
        <f>IF($A18="","",(R18-1)*3+S18)</f>
        <v/>
      </c>
      <c r="U18" s="36">
        <f>IF($A18="","",INDEX(PARAMETER!$C$15:$C$23,T18))</f>
        <v/>
      </c>
      <c r="V18" s="36">
        <f>IF($A18="","",INDEX(PARAMETER!$C$10:$H$10,MATCH(MIN(I18:N18),I18:N18,0)))</f>
        <v/>
      </c>
      <c r="W18" s="36">
        <f>IF($A18="","",INDEX(PARAMETER!$E$15:$E$23,T18))</f>
        <v/>
      </c>
    </row>
    <row r="19">
      <c r="A19" s="27" t="n"/>
      <c r="B19" s="27" t="n"/>
      <c r="C19" s="27" t="n"/>
      <c r="D19" s="27" t="n"/>
      <c r="E19" s="31" t="n"/>
      <c r="F19" s="32" t="n"/>
      <c r="G19" s="33" t="n"/>
      <c r="H19" s="33" t="n"/>
      <c r="I19" s="33" t="n"/>
      <c r="J19" s="33" t="n"/>
      <c r="K19" s="33" t="n"/>
      <c r="L19" s="33" t="n"/>
      <c r="M19" s="33" t="n"/>
      <c r="N19" s="33" t="n"/>
      <c r="O19" s="34">
        <f>IF($A19="","",ROUND((PARAMETER!$C$5-F19)/365.25,1))</f>
        <v/>
      </c>
      <c r="P19" s="35">
        <f>IF($A19="","",SUMPRODUCT(I19:N19,PARAMETER!$C$11:$H$11)/SUM(PARAMETER!$C$11:$H$11))</f>
        <v/>
      </c>
      <c r="Q19" s="35">
        <f>IF($A19="","",SUMPRODUCT((PARAMETER!$C$12:$H$12-I19:N19&gt;0)*(PARAMETER!$C$12:$H$12-I19:N19))/6)</f>
        <v/>
      </c>
      <c r="R19" s="26">
        <f>IF($A19="","",IF(G19&gt;=PARAMETER!$C$6,3,IF(G19&gt;=PARAMETER!$C$7,2,1)))</f>
        <v/>
      </c>
      <c r="S19" s="26">
        <f>IF($A19="","",IF(H19&gt;=PARAMETER!$C$6,3,IF(H19&gt;=PARAMETER!$C$7,2,1)))</f>
        <v/>
      </c>
      <c r="T19" s="26">
        <f>IF($A19="","",(R19-1)*3+S19)</f>
        <v/>
      </c>
      <c r="U19" s="36">
        <f>IF($A19="","",INDEX(PARAMETER!$C$15:$C$23,T19))</f>
        <v/>
      </c>
      <c r="V19" s="36">
        <f>IF($A19="","",INDEX(PARAMETER!$C$10:$H$10,MATCH(MIN(I19:N19),I19:N19,0)))</f>
        <v/>
      </c>
      <c r="W19" s="36">
        <f>IF($A19="","",INDEX(PARAMETER!$E$15:$E$23,T19))</f>
        <v/>
      </c>
    </row>
    <row r="20">
      <c r="A20" s="27" t="n"/>
      <c r="B20" s="27" t="n"/>
      <c r="C20" s="27" t="n"/>
      <c r="D20" s="27" t="n"/>
      <c r="E20" s="31" t="n"/>
      <c r="F20" s="32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4">
        <f>IF($A20="","",ROUND((PARAMETER!$C$5-F20)/365.25,1))</f>
        <v/>
      </c>
      <c r="P20" s="35">
        <f>IF($A20="","",SUMPRODUCT(I20:N20,PARAMETER!$C$11:$H$11)/SUM(PARAMETER!$C$11:$H$11))</f>
        <v/>
      </c>
      <c r="Q20" s="35">
        <f>IF($A20="","",SUMPRODUCT((PARAMETER!$C$12:$H$12-I20:N20&gt;0)*(PARAMETER!$C$12:$H$12-I20:N20))/6)</f>
        <v/>
      </c>
      <c r="R20" s="26">
        <f>IF($A20="","",IF(G20&gt;=PARAMETER!$C$6,3,IF(G20&gt;=PARAMETER!$C$7,2,1)))</f>
        <v/>
      </c>
      <c r="S20" s="26">
        <f>IF($A20="","",IF(H20&gt;=PARAMETER!$C$6,3,IF(H20&gt;=PARAMETER!$C$7,2,1)))</f>
        <v/>
      </c>
      <c r="T20" s="26">
        <f>IF($A20="","",(R20-1)*3+S20)</f>
        <v/>
      </c>
      <c r="U20" s="36">
        <f>IF($A20="","",INDEX(PARAMETER!$C$15:$C$23,T20))</f>
        <v/>
      </c>
      <c r="V20" s="36">
        <f>IF($A20="","",INDEX(PARAMETER!$C$10:$H$10,MATCH(MIN(I20:N20),I20:N20,0)))</f>
        <v/>
      </c>
      <c r="W20" s="36">
        <f>IF($A20="","",INDEX(PARAMETER!$E$15:$E$23,T20))</f>
        <v/>
      </c>
    </row>
    <row r="21">
      <c r="A21" s="27" t="n"/>
      <c r="B21" s="27" t="n"/>
      <c r="C21" s="27" t="n"/>
      <c r="D21" s="27" t="n"/>
      <c r="E21" s="31" t="n"/>
      <c r="F21" s="32" t="n"/>
      <c r="G21" s="33" t="n"/>
      <c r="H21" s="33" t="n"/>
      <c r="I21" s="33" t="n"/>
      <c r="J21" s="33" t="n"/>
      <c r="K21" s="33" t="n"/>
      <c r="L21" s="33" t="n"/>
      <c r="M21" s="33" t="n"/>
      <c r="N21" s="33" t="n"/>
      <c r="O21" s="34">
        <f>IF($A21="","",ROUND((PARAMETER!$C$5-F21)/365.25,1))</f>
        <v/>
      </c>
      <c r="P21" s="35">
        <f>IF($A21="","",SUMPRODUCT(I21:N21,PARAMETER!$C$11:$H$11)/SUM(PARAMETER!$C$11:$H$11))</f>
        <v/>
      </c>
      <c r="Q21" s="35">
        <f>IF($A21="","",SUMPRODUCT((PARAMETER!$C$12:$H$12-I21:N21&gt;0)*(PARAMETER!$C$12:$H$12-I21:N21))/6)</f>
        <v/>
      </c>
      <c r="R21" s="26">
        <f>IF($A21="","",IF(G21&gt;=PARAMETER!$C$6,3,IF(G21&gt;=PARAMETER!$C$7,2,1)))</f>
        <v/>
      </c>
      <c r="S21" s="26">
        <f>IF($A21="","",IF(H21&gt;=PARAMETER!$C$6,3,IF(H21&gt;=PARAMETER!$C$7,2,1)))</f>
        <v/>
      </c>
      <c r="T21" s="26">
        <f>IF($A21="","",(R21-1)*3+S21)</f>
        <v/>
      </c>
      <c r="U21" s="36">
        <f>IF($A21="","",INDEX(PARAMETER!$C$15:$C$23,T21))</f>
        <v/>
      </c>
      <c r="V21" s="36">
        <f>IF($A21="","",INDEX(PARAMETER!$C$10:$H$10,MATCH(MIN(I21:N21),I21:N21,0)))</f>
        <v/>
      </c>
      <c r="W21" s="36">
        <f>IF($A21="","",INDEX(PARAMETER!$E$15:$E$23,T21))</f>
        <v/>
      </c>
    </row>
    <row r="22">
      <c r="A22" s="27" t="n"/>
      <c r="B22" s="27" t="n"/>
      <c r="C22" s="27" t="n"/>
      <c r="D22" s="27" t="n"/>
      <c r="E22" s="31" t="n"/>
      <c r="F22" s="32" t="n"/>
      <c r="G22" s="33" t="n"/>
      <c r="H22" s="33" t="n"/>
      <c r="I22" s="33" t="n"/>
      <c r="J22" s="33" t="n"/>
      <c r="K22" s="33" t="n"/>
      <c r="L22" s="33" t="n"/>
      <c r="M22" s="33" t="n"/>
      <c r="N22" s="33" t="n"/>
      <c r="O22" s="34">
        <f>IF($A22="","",ROUND((PARAMETER!$C$5-F22)/365.25,1))</f>
        <v/>
      </c>
      <c r="P22" s="35">
        <f>IF($A22="","",SUMPRODUCT(I22:N22,PARAMETER!$C$11:$H$11)/SUM(PARAMETER!$C$11:$H$11))</f>
        <v/>
      </c>
      <c r="Q22" s="35">
        <f>IF($A22="","",SUMPRODUCT((PARAMETER!$C$12:$H$12-I22:N22&gt;0)*(PARAMETER!$C$12:$H$12-I22:N22))/6)</f>
        <v/>
      </c>
      <c r="R22" s="26">
        <f>IF($A22="","",IF(G22&gt;=PARAMETER!$C$6,3,IF(G22&gt;=PARAMETER!$C$7,2,1)))</f>
        <v/>
      </c>
      <c r="S22" s="26">
        <f>IF($A22="","",IF(H22&gt;=PARAMETER!$C$6,3,IF(H22&gt;=PARAMETER!$C$7,2,1)))</f>
        <v/>
      </c>
      <c r="T22" s="26">
        <f>IF($A22="","",(R22-1)*3+S22)</f>
        <v/>
      </c>
      <c r="U22" s="36">
        <f>IF($A22="","",INDEX(PARAMETER!$C$15:$C$23,T22))</f>
        <v/>
      </c>
      <c r="V22" s="36">
        <f>IF($A22="","",INDEX(PARAMETER!$C$10:$H$10,MATCH(MIN(I22:N22),I22:N22,0)))</f>
        <v/>
      </c>
      <c r="W22" s="36">
        <f>IF($A22="","",INDEX(PARAMETER!$E$15:$E$23,T22))</f>
        <v/>
      </c>
    </row>
    <row r="23">
      <c r="A23" s="27" t="n"/>
      <c r="B23" s="27" t="n"/>
      <c r="C23" s="27" t="n"/>
      <c r="D23" s="27" t="n"/>
      <c r="E23" s="31" t="n"/>
      <c r="F23" s="32" t="n"/>
      <c r="G23" s="33" t="n"/>
      <c r="H23" s="33" t="n"/>
      <c r="I23" s="33" t="n"/>
      <c r="J23" s="33" t="n"/>
      <c r="K23" s="33" t="n"/>
      <c r="L23" s="33" t="n"/>
      <c r="M23" s="33" t="n"/>
      <c r="N23" s="33" t="n"/>
      <c r="O23" s="34">
        <f>IF($A23="","",ROUND((PARAMETER!$C$5-F23)/365.25,1))</f>
        <v/>
      </c>
      <c r="P23" s="35">
        <f>IF($A23="","",SUMPRODUCT(I23:N23,PARAMETER!$C$11:$H$11)/SUM(PARAMETER!$C$11:$H$11))</f>
        <v/>
      </c>
      <c r="Q23" s="35">
        <f>IF($A23="","",SUMPRODUCT((PARAMETER!$C$12:$H$12-I23:N23&gt;0)*(PARAMETER!$C$12:$H$12-I23:N23))/6)</f>
        <v/>
      </c>
      <c r="R23" s="26">
        <f>IF($A23="","",IF(G23&gt;=PARAMETER!$C$6,3,IF(G23&gt;=PARAMETER!$C$7,2,1)))</f>
        <v/>
      </c>
      <c r="S23" s="26">
        <f>IF($A23="","",IF(H23&gt;=PARAMETER!$C$6,3,IF(H23&gt;=PARAMETER!$C$7,2,1)))</f>
        <v/>
      </c>
      <c r="T23" s="26">
        <f>IF($A23="","",(R23-1)*3+S23)</f>
        <v/>
      </c>
      <c r="U23" s="36">
        <f>IF($A23="","",INDEX(PARAMETER!$C$15:$C$23,T23))</f>
        <v/>
      </c>
      <c r="V23" s="36">
        <f>IF($A23="","",INDEX(PARAMETER!$C$10:$H$10,MATCH(MIN(I23:N23),I23:N23,0)))</f>
        <v/>
      </c>
      <c r="W23" s="36">
        <f>IF($A23="","",INDEX(PARAMETER!$E$15:$E$23,T23))</f>
        <v/>
      </c>
    </row>
    <row r="24">
      <c r="A24" s="27" t="n"/>
      <c r="B24" s="27" t="n"/>
      <c r="C24" s="27" t="n"/>
      <c r="D24" s="27" t="n"/>
      <c r="E24" s="31" t="n"/>
      <c r="F24" s="32" t="n"/>
      <c r="G24" s="33" t="n"/>
      <c r="H24" s="33" t="n"/>
      <c r="I24" s="33" t="n"/>
      <c r="J24" s="33" t="n"/>
      <c r="K24" s="33" t="n"/>
      <c r="L24" s="33" t="n"/>
      <c r="M24" s="33" t="n"/>
      <c r="N24" s="33" t="n"/>
      <c r="O24" s="34">
        <f>IF($A24="","",ROUND((PARAMETER!$C$5-F24)/365.25,1))</f>
        <v/>
      </c>
      <c r="P24" s="35">
        <f>IF($A24="","",SUMPRODUCT(I24:N24,PARAMETER!$C$11:$H$11)/SUM(PARAMETER!$C$11:$H$11))</f>
        <v/>
      </c>
      <c r="Q24" s="35">
        <f>IF($A24="","",SUMPRODUCT((PARAMETER!$C$12:$H$12-I24:N24&gt;0)*(PARAMETER!$C$12:$H$12-I24:N24))/6)</f>
        <v/>
      </c>
      <c r="R24" s="26">
        <f>IF($A24="","",IF(G24&gt;=PARAMETER!$C$6,3,IF(G24&gt;=PARAMETER!$C$7,2,1)))</f>
        <v/>
      </c>
      <c r="S24" s="26">
        <f>IF($A24="","",IF(H24&gt;=PARAMETER!$C$6,3,IF(H24&gt;=PARAMETER!$C$7,2,1)))</f>
        <v/>
      </c>
      <c r="T24" s="26">
        <f>IF($A24="","",(R24-1)*3+S24)</f>
        <v/>
      </c>
      <c r="U24" s="36">
        <f>IF($A24="","",INDEX(PARAMETER!$C$15:$C$23,T24))</f>
        <v/>
      </c>
      <c r="V24" s="36">
        <f>IF($A24="","",INDEX(PARAMETER!$C$10:$H$10,MATCH(MIN(I24:N24),I24:N24,0)))</f>
        <v/>
      </c>
      <c r="W24" s="36">
        <f>IF($A24="","",INDEX(PARAMETER!$E$15:$E$23,T24))</f>
        <v/>
      </c>
    </row>
    <row r="25">
      <c r="A25" s="27" t="n"/>
      <c r="B25" s="27" t="n"/>
      <c r="C25" s="27" t="n"/>
      <c r="D25" s="27" t="n"/>
      <c r="E25" s="31" t="n"/>
      <c r="F25" s="32" t="n"/>
      <c r="G25" s="33" t="n"/>
      <c r="H25" s="33" t="n"/>
      <c r="I25" s="33" t="n"/>
      <c r="J25" s="33" t="n"/>
      <c r="K25" s="33" t="n"/>
      <c r="L25" s="33" t="n"/>
      <c r="M25" s="33" t="n"/>
      <c r="N25" s="33" t="n"/>
      <c r="O25" s="34">
        <f>IF($A25="","",ROUND((PARAMETER!$C$5-F25)/365.25,1))</f>
        <v/>
      </c>
      <c r="P25" s="35">
        <f>IF($A25="","",SUMPRODUCT(I25:N25,PARAMETER!$C$11:$H$11)/SUM(PARAMETER!$C$11:$H$11))</f>
        <v/>
      </c>
      <c r="Q25" s="35">
        <f>IF($A25="","",SUMPRODUCT((PARAMETER!$C$12:$H$12-I25:N25&gt;0)*(PARAMETER!$C$12:$H$12-I25:N25))/6)</f>
        <v/>
      </c>
      <c r="R25" s="26">
        <f>IF($A25="","",IF(G25&gt;=PARAMETER!$C$6,3,IF(G25&gt;=PARAMETER!$C$7,2,1)))</f>
        <v/>
      </c>
      <c r="S25" s="26">
        <f>IF($A25="","",IF(H25&gt;=PARAMETER!$C$6,3,IF(H25&gt;=PARAMETER!$C$7,2,1)))</f>
        <v/>
      </c>
      <c r="T25" s="26">
        <f>IF($A25="","",(R25-1)*3+S25)</f>
        <v/>
      </c>
      <c r="U25" s="36">
        <f>IF($A25="","",INDEX(PARAMETER!$C$15:$C$23,T25))</f>
        <v/>
      </c>
      <c r="V25" s="36">
        <f>IF($A25="","",INDEX(PARAMETER!$C$10:$H$10,MATCH(MIN(I25:N25),I25:N25,0)))</f>
        <v/>
      </c>
      <c r="W25" s="36">
        <f>IF($A25="","",INDEX(PARAMETER!$E$15:$E$23,T25))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autoFilter ref="A5:W25"/>
  <mergeCells count="1">
    <mergeCell ref="A3:X3"/>
  </mergeCells>
  <conditionalFormatting sqref="U6:U25">
    <cfRule type="expression" priority="1" dxfId="0">
      <formula>$T6=9</formula>
    </cfRule>
    <cfRule type="expression" priority="2" dxfId="1">
      <formula>$T6=1</formula>
    </cfRule>
  </conditionalFormatting>
  <conditionalFormatting sqref="G6:N25">
    <cfRule type="cellIs" priority="3" operator="lessThan" dxfId="2">
      <formula>PARAMETER!$C$7</formula>
    </cfRule>
  </conditionalFormatting>
  <dataValidations count="2">
    <dataValidation sqref="C6:C25" showDropDown="0" showInputMessage="0" showErrorMessage="0" allowBlank="1" type="list">
      <formula1>=PARAMETER!$B$28:$B$35</formula1>
    </dataValidation>
    <dataValidation sqref="G6:N25" showDropDown="0" showInputMessage="0" showErrorMessage="1" allowBlank="1" error="Isi angka antara 1 dan 5" type="decimal" operator="between">
      <formula1>1</formula1>
      <formula2>5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4" customWidth="1" min="3" max="3"/>
    <col width="14" customWidth="1" min="4" max="4"/>
    <col width="40" customWidth="1" min="5" max="5"/>
  </cols>
  <sheetData>
    <row r="1" ht="24" customHeight="1">
      <c r="A1" s="13" t="inlineStr">
        <is>
          <t>Ringkasan Talent Review</t>
        </is>
      </c>
    </row>
    <row r="2">
      <c r="A2" s="14">
        <f>"Per tanggal "&amp;TEXT(PARAMETER!C5,"dd-mmm-yyyy")</f>
        <v/>
      </c>
    </row>
    <row r="3">
      <c r="A3" s="15" t="inlineStr">
        <is>
          <t>VERSI DEMO: kapasitas &amp; fitur dibatasi, data simulasi. Versi lengkap: WhatsApp 089623291732</t>
        </is>
      </c>
    </row>
    <row r="5" ht="24" customHeight="1">
      <c r="A5" s="23" t="inlineStr">
        <is>
          <t>Kotak</t>
        </is>
      </c>
      <c r="B5" s="23" t="inlineStr">
        <is>
          <t>Nama kotak</t>
        </is>
      </c>
      <c r="C5" s="23" t="inlineStr">
        <is>
          <t>Jumlah</t>
        </is>
      </c>
      <c r="D5" s="23" t="inlineStr">
        <is>
          <t>% Karyawan</t>
        </is>
      </c>
      <c r="E5" s="23" t="inlineStr">
        <is>
          <t>Tindakan</t>
        </is>
      </c>
    </row>
    <row r="6" ht="28" customHeight="1">
      <c r="A6" s="26" t="n">
        <v>1</v>
      </c>
      <c r="B6" s="36">
        <f>PARAMETER!C15</f>
        <v/>
      </c>
      <c r="C6" s="26">
        <f>COUNTIFS(KARYAWAN!$T$6:$T$25,A6)</f>
        <v/>
      </c>
      <c r="D6" s="37">
        <f>IF($C$15=0,0,C6/$C$15)</f>
        <v/>
      </c>
      <c r="E6" s="38">
        <f>PARAMETER!E15</f>
        <v/>
      </c>
    </row>
    <row r="7" ht="28" customHeight="1">
      <c r="A7" s="26" t="n">
        <v>2</v>
      </c>
      <c r="B7" s="36">
        <f>PARAMETER!C16</f>
        <v/>
      </c>
      <c r="C7" s="26">
        <f>COUNTIFS(KARYAWAN!$T$6:$T$25,A7)</f>
        <v/>
      </c>
      <c r="D7" s="37">
        <f>IF($C$15=0,0,C7/$C$15)</f>
        <v/>
      </c>
      <c r="E7" s="38">
        <f>PARAMETER!E16</f>
        <v/>
      </c>
    </row>
    <row r="8" ht="28" customHeight="1">
      <c r="A8" s="26" t="n">
        <v>3</v>
      </c>
      <c r="B8" s="36">
        <f>PARAMETER!C17</f>
        <v/>
      </c>
      <c r="C8" s="26">
        <f>COUNTIFS(KARYAWAN!$T$6:$T$25,A8)</f>
        <v/>
      </c>
      <c r="D8" s="37">
        <f>IF($C$15=0,0,C8/$C$15)</f>
        <v/>
      </c>
      <c r="E8" s="38">
        <f>PARAMETER!E17</f>
        <v/>
      </c>
    </row>
    <row r="9" ht="28" customHeight="1">
      <c r="A9" s="26" t="n">
        <v>4</v>
      </c>
      <c r="B9" s="36">
        <f>PARAMETER!C18</f>
        <v/>
      </c>
      <c r="C9" s="26">
        <f>COUNTIFS(KARYAWAN!$T$6:$T$25,A9)</f>
        <v/>
      </c>
      <c r="D9" s="37">
        <f>IF($C$15=0,0,C9/$C$15)</f>
        <v/>
      </c>
      <c r="E9" s="38">
        <f>PARAMETER!E18</f>
        <v/>
      </c>
    </row>
    <row r="10" ht="28" customHeight="1">
      <c r="A10" s="26" t="n">
        <v>5</v>
      </c>
      <c r="B10" s="36">
        <f>PARAMETER!C19</f>
        <v/>
      </c>
      <c r="C10" s="26">
        <f>COUNTIFS(KARYAWAN!$T$6:$T$25,A10)</f>
        <v/>
      </c>
      <c r="D10" s="37">
        <f>IF($C$15=0,0,C10/$C$15)</f>
        <v/>
      </c>
      <c r="E10" s="38">
        <f>PARAMETER!E19</f>
        <v/>
      </c>
    </row>
    <row r="11" ht="28" customHeight="1">
      <c r="A11" s="26" t="n">
        <v>6</v>
      </c>
      <c r="B11" s="36">
        <f>PARAMETER!C20</f>
        <v/>
      </c>
      <c r="C11" s="26">
        <f>COUNTIFS(KARYAWAN!$T$6:$T$25,A11)</f>
        <v/>
      </c>
      <c r="D11" s="37">
        <f>IF($C$15=0,0,C11/$C$15)</f>
        <v/>
      </c>
      <c r="E11" s="38">
        <f>PARAMETER!E20</f>
        <v/>
      </c>
    </row>
    <row r="12" ht="28" customHeight="1">
      <c r="A12" s="26" t="n">
        <v>7</v>
      </c>
      <c r="B12" s="36">
        <f>PARAMETER!C21</f>
        <v/>
      </c>
      <c r="C12" s="26">
        <f>COUNTIFS(KARYAWAN!$T$6:$T$25,A12)</f>
        <v/>
      </c>
      <c r="D12" s="37">
        <f>IF($C$15=0,0,C12/$C$15)</f>
        <v/>
      </c>
      <c r="E12" s="38">
        <f>PARAMETER!E21</f>
        <v/>
      </c>
    </row>
    <row r="13" ht="28" customHeight="1">
      <c r="A13" s="26" t="n">
        <v>8</v>
      </c>
      <c r="B13" s="36">
        <f>PARAMETER!C22</f>
        <v/>
      </c>
      <c r="C13" s="26">
        <f>COUNTIFS(KARYAWAN!$T$6:$T$25,A13)</f>
        <v/>
      </c>
      <c r="D13" s="37">
        <f>IF($C$15=0,0,C13/$C$15)</f>
        <v/>
      </c>
      <c r="E13" s="38">
        <f>PARAMETER!E22</f>
        <v/>
      </c>
    </row>
    <row r="14" ht="28" customHeight="1">
      <c r="A14" s="26" t="n">
        <v>9</v>
      </c>
      <c r="B14" s="36">
        <f>PARAMETER!C23</f>
        <v/>
      </c>
      <c r="C14" s="26">
        <f>COUNTIFS(KARYAWAN!$T$6:$T$25,A14)</f>
        <v/>
      </c>
      <c r="D14" s="37">
        <f>IF($C$15=0,0,C14/$C$15)</f>
        <v/>
      </c>
      <c r="E14" s="38">
        <f>PARAMETER!E23</f>
        <v/>
      </c>
    </row>
    <row r="15">
      <c r="A15" s="39" t="n"/>
      <c r="B15" s="20" t="inlineStr">
        <is>
          <t>TOTAL</t>
        </is>
      </c>
      <c r="C15" s="40">
        <f>SUM(C6:C14)</f>
        <v/>
      </c>
      <c r="D15" s="41">
        <f>SUM(D6:D14)</f>
        <v/>
      </c>
      <c r="E15" s="39" t="n"/>
    </row>
    <row r="17">
      <c r="A17" s="6" t="inlineStr">
        <is>
          <t>INDIKATOR UTAMA</t>
        </is>
      </c>
      <c r="B17" s="7" t="n"/>
      <c r="C17" s="7" t="n"/>
      <c r="D17" s="7" t="n"/>
      <c r="E17" s="7" t="n"/>
    </row>
    <row r="18">
      <c r="A18" s="16" t="inlineStr">
        <is>
          <t>Jumlah karyawan</t>
        </is>
      </c>
      <c r="B18" s="24" t="n"/>
      <c r="C18" s="25" t="n"/>
      <c r="D18" s="42">
        <f>C15</f>
        <v/>
      </c>
    </row>
    <row r="19">
      <c r="A19" s="16" t="inlineStr">
        <is>
          <t>Rata-rata kinerja</t>
        </is>
      </c>
      <c r="B19" s="24" t="n"/>
      <c r="C19" s="25" t="n"/>
      <c r="D19" s="43">
        <f>IFERROR(AVERAGE(KARYAWAN!$G$6:$G$25),0)</f>
        <v/>
      </c>
    </row>
    <row r="20">
      <c r="A20" s="16" t="inlineStr">
        <is>
          <t>Rata-rata potensi</t>
        </is>
      </c>
      <c r="B20" s="24" t="n"/>
      <c r="C20" s="25" t="n"/>
      <c r="D20" s="43">
        <f>IFERROR(AVERAGE(KARYAWAN!$H$6:$H$25),0)</f>
        <v/>
      </c>
    </row>
    <row r="21">
      <c r="A21" s="16" t="inlineStr">
        <is>
          <t>Rata-rata skor kompetensi</t>
        </is>
      </c>
      <c r="B21" s="24" t="n"/>
      <c r="C21" s="25" t="n"/>
      <c r="D21" s="43">
        <f>IFERROR(AVERAGE(KARYAWAN!$P$6:$P$25),0)</f>
        <v/>
      </c>
    </row>
    <row r="22">
      <c r="A22" s="16" t="inlineStr">
        <is>
          <t>Potensi tinggi (% karyawan)</t>
        </is>
      </c>
      <c r="B22" s="24" t="n"/>
      <c r="C22" s="25" t="n"/>
      <c r="D22" s="44">
        <f>IF(C15=0,0,COUNTIFS(KARYAWAN!$S$6:$S$25,3)/C15)</f>
        <v/>
      </c>
    </row>
    <row r="23">
      <c r="A23" s="16" t="inlineStr">
        <is>
          <t>Talenta kunci: Bintang + Calon Bintang + Kinerja Tinggi</t>
        </is>
      </c>
      <c r="B23" s="24" t="n"/>
      <c r="C23" s="25" t="n"/>
      <c r="D23" s="42">
        <f>C14+C11+C13</f>
        <v/>
      </c>
    </row>
    <row r="24">
      <c r="A24" s="16" t="inlineStr">
        <is>
          <t>Perlu perhatian: Risiko + Perlu Perbaikan</t>
        </is>
      </c>
      <c r="B24" s="24" t="n"/>
      <c r="C24" s="25" t="n"/>
      <c r="D24" s="42">
        <f>C6+C7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8">
    <mergeCell ref="A19:C19"/>
    <mergeCell ref="A23:C23"/>
    <mergeCell ref="A22:C22"/>
    <mergeCell ref="A18:C18"/>
    <mergeCell ref="A21:C21"/>
    <mergeCell ref="A20:C20"/>
    <mergeCell ref="A24:C24"/>
    <mergeCell ref="A3:E3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5" t="inlineStr">
        <is>
          <t>Fitur Versi Lengkap</t>
        </is>
      </c>
    </row>
    <row r="3" ht="32" customHeight="1">
      <c r="B3" s="46" t="inlineStr">
        <is>
          <t>MATRIKS 9BOX</t>
        </is>
      </c>
    </row>
    <row r="5" ht="48" customHeight="1">
      <c r="B5" s="47" t="inlineStr">
        <is>
          <t>Matriks 3×3 kinerja × potensi dengan jumlah dan persentase karyawan per kotak.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48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5" t="inlineStr">
        <is>
          <t>Fitur Versi Lengkap</t>
        </is>
      </c>
    </row>
    <row r="3" ht="32" customHeight="1">
      <c r="B3" s="46" t="inlineStr">
        <is>
          <t>KOMPETENSI</t>
        </is>
      </c>
    </row>
    <row r="5" ht="48" customHeight="1">
      <c r="B5" s="47" t="inlineStr">
        <is>
          <t>Rata-rata kompetensi per departemen, gap terhadap target, dan peta panas.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48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5" t="inlineStr">
        <is>
          <t>Fitur Versi Lengkap</t>
        </is>
      </c>
    </row>
    <row r="3" ht="32" customHeight="1">
      <c r="B3" s="46" t="inlineStr">
        <is>
          <t>SUKSESI</t>
        </is>
      </c>
    </row>
    <row r="5" ht="48" customHeight="1">
      <c r="B5" s="47" t="inlineStr">
        <is>
          <t>10 talenta teratas (potensi dan kinerja tertinggi) untuk daftar suksesi.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48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C0392B"/>
    <outlinePr summaryBelow="1" summaryRight="1"/>
    <pageSetUpPr/>
  </sheetPr>
  <dimension ref="B2:C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80" customWidth="1" min="3" max="3"/>
  </cols>
  <sheetData>
    <row r="2">
      <c r="B2" s="45" t="inlineStr">
        <is>
          <t>Fitur Versi Lengkap</t>
        </is>
      </c>
    </row>
    <row r="3" ht="32" customHeight="1">
      <c r="B3" s="46" t="inlineStr">
        <is>
          <t>DASHBOARD</t>
        </is>
      </c>
    </row>
    <row r="5" ht="48" customHeight="1">
      <c r="B5" s="47" t="inlineStr">
        <is>
          <t>Grafik sebaran kotak dan kompetensi terhadap target.</t>
        </is>
      </c>
    </row>
    <row r="7">
      <c r="B7" s="11" t="inlineStr">
        <is>
          <t>• Sheet ini hanya tersedia di versi lengkap, lengkap dengan rumus dan grafik yang bekerja dari data Anda.</t>
        </is>
      </c>
    </row>
    <row r="8">
      <c r="B8" s="11" t="inlineStr">
        <is>
          <t>• Kapasitas data versi lengkap jauh lebih besar dibanding demo.</t>
        </is>
      </c>
    </row>
    <row r="9">
      <c r="B9" s="48" t="inlineStr">
        <is>
          <t>• Pesan versi lengkap lewat WhatsApp 089623291732.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/>
  <mergeCells count="1">
    <mergeCell ref="B5:C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Mantam Product</dc:creator>
  <dc:title xmlns:dc="http://purl.org/dc/elements/1.1/">Talent Review 9-Box &amp; Kompetensi (Demo)</dc:title>
  <dc:subject xmlns:dc="http://purl.org/dc/elements/1.1/">Lisensi: demo</dc:subject>
  <dcterms:created xmlns:dcterms="http://purl.org/dc/terms/" xmlns:xsi="http://www.w3.org/2001/XMLSchema-instance" xsi:type="dcterms:W3CDTF">2026-10-29T23:54:10Z</dcterms:created>
  <dcterms:modified xmlns:dcterms="http://purl.org/dc/terms/" xmlns:xsi="http://www.w3.org/2001/XMLSchema-instance" xsi:type="dcterms:W3CDTF">2026-10-29T23:54:10Z</dcterms:modified>
</cp:coreProperties>
</file>