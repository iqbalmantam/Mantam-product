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TARIF_TER" sheetId="3" state="visible" r:id="rId3"/>
    <sheet xmlns:r="http://schemas.openxmlformats.org/officeDocument/2006/relationships" name="KARYAWAN" sheetId="4" state="visible" r:id="rId4"/>
    <sheet xmlns:r="http://schemas.openxmlformats.org/officeDocument/2006/relationships" name="ABSENSI" sheetId="5" state="visible" r:id="rId5"/>
    <sheet xmlns:r="http://schemas.openxmlformats.org/officeDocument/2006/relationships" name="PAYROLL" sheetId="6" state="visible" r:id="rId6"/>
    <sheet xmlns:r="http://schemas.openxmlformats.org/officeDocument/2006/relationships" name="RINGKASAN" sheetId="7" state="visible" r:id="rId7"/>
    <sheet xmlns:r="http://schemas.openxmlformats.org/officeDocument/2006/relationships" name="FULL-SLIP_GAJI" sheetId="8" state="visible" r:id="rId8"/>
    <sheet xmlns:r="http://schemas.openxmlformats.org/officeDocument/2006/relationships" name="FULL-CUTI" sheetId="9" state="visible" r:id="rId9"/>
    <sheet xmlns:r="http://schemas.openxmlformats.org/officeDocument/2006/relationships" name="FULL-LOG_CUTI" sheetId="10" state="visible" r:id="rId10"/>
    <sheet xmlns:r="http://schemas.openxmlformats.org/officeDocument/2006/relationships" name="FULL-LOWONGAN" sheetId="11" state="visible" r:id="rId11"/>
    <sheet xmlns:r="http://schemas.openxmlformats.org/officeDocument/2006/relationships" name="FULL-KANDIDAT" sheetId="12" state="visible" r:id="rId12"/>
    <sheet xmlns:r="http://schemas.openxmlformats.org/officeDocument/2006/relationships" name="FULL-KINERJA" sheetId="13" state="visible" r:id="rId13"/>
    <sheet xmlns:r="http://schemas.openxmlformats.org/officeDocument/2006/relationships" name="FULL-PELATIHAN" sheetId="14" state="visible" r:id="rId14"/>
    <sheet xmlns:r="http://schemas.openxmlformats.org/officeDocument/2006/relationships" name="FULL-DASHBOARD" sheetId="15" state="visible" r:id="rId15"/>
  </sheets>
  <definedNames>
    <definedName name="_xlnm._FilterDatabase" localSheetId="3" hidden="1">'KARYAWAN'!$A$5:$V$20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yyyy-mm-dd"/>
    <numFmt numFmtId="166" formatCode="dd-mmm-yyyy"/>
    <numFmt numFmtId="167" formatCode="0.0%"/>
    <numFmt numFmtId="168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  <font>
      <name val="Arial"/>
      <b val="1"/>
      <color rgb="000000FF"/>
      <sz val="10"/>
    </font>
    <font>
      <name val="Arial"/>
      <i val="1"/>
      <color rgb="005B6B82"/>
      <sz val="9"/>
    </font>
    <font>
      <name val="Arial"/>
      <b val="1"/>
      <color rgb="00C0392B"/>
      <sz val="11"/>
    </font>
    <font>
      <name val="Arial"/>
      <b val="1"/>
      <color rgb="000B1A30"/>
      <sz val="20"/>
    </font>
    <font>
      <name val="Arial"/>
      <color rgb="0033445C"/>
      <sz val="11"/>
    </font>
    <font>
      <name val="Arial"/>
      <b val="1"/>
      <color rgb="001E8449"/>
      <sz val="10"/>
    </font>
  </fonts>
  <fills count="9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E8F8F5"/>
      </patternFill>
    </fill>
    <fill>
      <patternFill patternType="solid">
        <fgColor rgb="00EEF3FB"/>
      </patternFill>
    </fill>
    <fill>
      <patternFill patternType="solid">
        <fgColor rgb="00F2F5FA"/>
      </patternFill>
    </fill>
  </fills>
  <borders count="6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0" fontId="9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" fontId="9" fillId="3" borderId="1" applyProtection="1" pivotButton="0" quotePrefix="0" xfId="0">
      <protection locked="0" hidden="0"/>
    </xf>
    <xf numFmtId="0" fontId="14" fillId="0" borderId="0" pivotButton="0" quotePrefix="0" xfId="0"/>
    <xf numFmtId="2" fontId="9" fillId="3" borderId="1" applyProtection="1" pivotButton="0" quotePrefix="0" xfId="0">
      <protection locked="0" hidden="0"/>
    </xf>
    <xf numFmtId="0" fontId="13" fillId="0" borderId="1" applyProtection="1" pivotButton="0" quotePrefix="0" xfId="0">
      <protection locked="0" hidden="0"/>
    </xf>
    <xf numFmtId="164" fontId="9" fillId="3" borderId="1" applyProtection="1" pivotButton="0" quotePrefix="0" xfId="0">
      <protection locked="0" hidden="0"/>
    </xf>
    <xf numFmtId="166" fontId="9" fillId="3" borderId="1" applyProtection="1" pivotButton="0" quotePrefix="0" xfId="0">
      <protection locked="0" hidden="0"/>
    </xf>
    <xf numFmtId="167" fontId="9" fillId="3" borderId="1" applyProtection="1" pivotButton="0" quotePrefix="0" xfId="0">
      <protection locked="0" hidden="0"/>
    </xf>
    <xf numFmtId="0" fontId="6" fillId="5" borderId="1" applyAlignment="1" pivotButton="0" quotePrefix="0" xfId="0">
      <alignment horizontal="center" vertical="center" wrapText="1"/>
    </xf>
    <xf numFmtId="10" fontId="9" fillId="3" borderId="1" applyProtection="1" pivotButton="0" quotePrefix="0" xfId="0">
      <protection locked="0" hidden="0"/>
    </xf>
    <xf numFmtId="3" fontId="9" fillId="3" borderId="1" applyProtection="1" pivotButton="0" quotePrefix="0" xfId="0"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9" fontId="9" fillId="3" borderId="1" applyProtection="1" pivotButton="0" quotePrefix="0" xfId="0">
      <protection locked="0" hidden="0"/>
    </xf>
    <xf numFmtId="9" fontId="8" fillId="0" borderId="1" pivotButton="0" quotePrefix="0" xfId="0"/>
    <xf numFmtId="0" fontId="9" fillId="0" borderId="1" applyProtection="1" pivotButton="0" quotePrefix="0" xfId="0">
      <protection locked="0" hidden="0"/>
    </xf>
    <xf numFmtId="3" fontId="9" fillId="0" borderId="1" applyProtection="1" pivotButton="0" quotePrefix="0" xfId="0">
      <protection locked="0" hidden="0"/>
    </xf>
    <xf numFmtId="10" fontId="9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6" fontId="9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1" fontId="9" fillId="0" borderId="1" applyAlignment="1" applyProtection="1" pivotButton="0" quotePrefix="0" xfId="0">
      <alignment horizontal="center" vertical="center"/>
      <protection locked="0" hidden="0"/>
    </xf>
    <xf numFmtId="0" fontId="7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7" fillId="8" borderId="1" pivotButton="0" quotePrefix="0" xfId="0"/>
    <xf numFmtId="0" fontId="8" fillId="8" borderId="1" pivotButton="0" quotePrefix="0" xfId="0"/>
    <xf numFmtId="164" fontId="8" fillId="0" borderId="1" pivotButton="0" quotePrefix="0" xfId="0"/>
    <xf numFmtId="164" fontId="7" fillId="6" borderId="1" pivotButton="0" quotePrefix="0" xfId="0"/>
    <xf numFmtId="164" fontId="7" fillId="7" borderId="1" pivotButton="0" quotePrefix="0" xfId="0"/>
    <xf numFmtId="10" fontId="8" fillId="0" borderId="1" pivotButton="0" quotePrefix="0" xfId="0"/>
    <xf numFmtId="1" fontId="7" fillId="8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C0392B"/>
        <sz val="10"/>
      </font>
    </dxf>
    <dxf>
      <font>
        <name val="Arial"/>
        <b val="1"/>
        <color rgb="00B9770E"/>
        <sz val="10"/>
      </font>
      <fill>
        <patternFill patternType="solid">
          <fgColor rgb="00FDEBD0"/>
        </patternFill>
      </fill>
    </dxf>
    <dxf>
      <font>
        <name val="Arial"/>
        <b val="1"/>
        <color rgb="00C0392B"/>
        <sz val="10"/>
      </font>
      <fill>
        <patternFill patternType="solid">
          <fgColor rgb="00F5B7B1"/>
        </patternFill>
      </fill>
    </dxf>
    <dxf>
      <font>
        <name val="Arial"/>
        <color rgb="001E8449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per Departemen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'RINGKASAN'!B5</f>
            </strRef>
          </tx>
          <spPr>
            <a:solidFill xmlns:a="http://schemas.openxmlformats.org/drawingml/2006/main">
              <a:srgbClr val="0EA5A4"/>
            </a:solidFill>
            <a:ln xmlns:a="http://schemas.openxmlformats.org/drawingml/2006/main">
              <a:solidFill>
                <a:srgbClr val="0EA5A4"/>
              </a:solidFill>
              <a:prstDash val="solid"/>
            </a:ln>
          </spPr>
          <cat>
            <numRef>
              <f>'RINGKASAN'!$A$6:$A$11</f>
            </numRef>
          </cat>
          <val>
            <numRef>
              <f>'RINGKASAN'!$B$6:$B$11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HRMS Enterprise (Demo)</t>
        </is>
      </c>
    </row>
    <row r="3" ht="44" customHeight="1">
      <c r="B3" s="3" t="inlineStr">
        <is>
          <t>Sistem SDM lengkap dalam Excel: master karyawan, absensi, cuti, payroll dengan BPJS dan PPh 21 TER, slip gaji, rekrutmen, kinerja, pelatihan, dan dashboard.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30" customHeight="1">
      <c r="B8" s="8" t="inlineStr">
        <is>
          <t>Langkah 1</t>
        </is>
      </c>
      <c r="C8" s="9" t="inlineStr">
        <is>
          <t>Buka PARAMETER: isi nama perusahaan, bulan dan tahun payroll, hari kerja, tarif BPJS, dan daftar pilihan (sel kuning/biru).</t>
        </is>
      </c>
    </row>
    <row r="9" ht="30" customHeight="1">
      <c r="B9" s="8" t="inlineStr">
        <is>
          <t>Langkah 2</t>
        </is>
      </c>
      <c r="C9" s="9" t="inlineStr">
        <is>
          <t>Isi master karyawan di KARYAWAN (satu baris per orang). Gaji, PTKP, dan status menentukan perhitungan payroll.</t>
        </is>
      </c>
    </row>
    <row r="10" ht="30" customHeight="1">
      <c r="B10" s="8" t="inlineStr">
        <is>
          <t>Langkah 3</t>
        </is>
      </c>
      <c r="C10" s="9" t="inlineStr">
        <is>
          <t>Tiap bulan isi ABSENSI (hari hadir, sakit, izin, cuti, alpa, jam lembur, bonus). Baris mengikuti urutan KARYAWAN.</t>
        </is>
      </c>
    </row>
    <row r="11" ht="16" customHeight="1">
      <c r="B11" s="8" t="inlineStr">
        <is>
          <t>Langkah 4</t>
        </is>
      </c>
      <c r="C11" s="9" t="inlineStr">
        <is>
          <t>Buka PAYROLL untuk melihat gaji bersih dan total biaya perusahaan.</t>
        </is>
      </c>
    </row>
    <row r="13">
      <c r="B13" s="6" t="inlineStr">
        <is>
          <t>Isi berkas</t>
        </is>
      </c>
      <c r="C13" s="7" t="n"/>
    </row>
    <row r="14" ht="30" customHeight="1">
      <c r="B14" s="8" t="inlineStr">
        <is>
          <t>PARAMETER</t>
        </is>
      </c>
      <c r="C14" s="9" t="inlineStr">
        <is>
          <t>Pusat kustomisasi: identitas perusahaan, periode, tunjangan, tarif BPJS, PTKP, tarif progresif Pasal 17, daftar pilihan, band gaji.</t>
        </is>
      </c>
    </row>
    <row r="15" ht="30" customHeight="1">
      <c r="B15" s="8" t="inlineStr">
        <is>
          <t>TARIF_TER</t>
        </is>
      </c>
      <c r="C15" s="9" t="inlineStr">
        <is>
          <t>Tabel tarif efektif rata-rata (TER) kategori A, B, C untuk PPh 21 bulanan; dapat Anda perbarui bila aturan berubah.</t>
        </is>
      </c>
    </row>
    <row r="16" ht="30" customHeight="1">
      <c r="B16" s="8" t="inlineStr">
        <is>
          <t>KARYAWAN</t>
        </is>
      </c>
      <c r="C16" s="9" t="inlineStr">
        <is>
          <t>Master karyawan (kapasitas 15): identitas, jabatan, grade, status, PTKP, gaji, 2 kolom kustom; usia, masa kerja, kategori TER, dan posisi terhadap band gaji otomatis.</t>
        </is>
      </c>
    </row>
    <row r="17" ht="30" customHeight="1">
      <c r="B17" s="8" t="inlineStr">
        <is>
          <t>ABSENSI</t>
        </is>
      </c>
      <c r="C17" s="9" t="inlineStr">
        <is>
          <t>Rekap kehadiran bulanan per karyawan: hadir, sakit, izin, cuti, alpa, jam lembur, bonus, potongan lain, dengan pengecekan jumlah hari.</t>
        </is>
      </c>
    </row>
    <row r="18" ht="30" customHeight="1">
      <c r="B18" s="8" t="inlineStr">
        <is>
          <t>PAYROLL</t>
        </is>
      </c>
      <c r="C18" s="9" t="inlineStr">
        <is>
          <t>Penggajian otomatis: tunjangan, lembur, potongan alpa, BPJS perusahaan dan karyawan, PPh 21 (TER), gaji bersih, dan total biaya perusahaan.</t>
        </is>
      </c>
    </row>
    <row r="19" ht="16" customHeight="1">
      <c r="B19" s="8" t="inlineStr">
        <is>
          <t>RINGKASAN</t>
        </is>
      </c>
      <c r="C19" s="9" t="inlineStr">
        <is>
          <t>Headcount dan biaya payroll per departemen.</t>
        </is>
      </c>
    </row>
    <row r="21">
      <c r="B21" s="6" t="inlineStr">
        <is>
          <t>Legenda warna</t>
        </is>
      </c>
      <c r="C21" s="7" t="n"/>
    </row>
    <row r="22">
      <c r="B22" s="10" t="inlineStr">
        <is>
          <t>Teks biru</t>
        </is>
      </c>
      <c r="C22" s="11" t="inlineStr">
        <is>
          <t>Sel input: boleh Anda ubah (tidak terkunci).</t>
        </is>
      </c>
    </row>
    <row r="23">
      <c r="B23" s="12" t="inlineStr">
        <is>
          <t>Sel kuning</t>
        </is>
      </c>
      <c r="C23" s="11" t="inlineStr">
        <is>
          <t>Parameter kunci: periksa terlebih dulu.</t>
        </is>
      </c>
    </row>
    <row r="24">
      <c r="B24" s="11" t="inlineStr">
        <is>
          <t>Teks hitam</t>
        </is>
      </c>
      <c r="C24" s="11" t="inlineStr">
        <is>
          <t>Rumus otomatis (terkunci; Review &gt; Unprotect Sheet tanpa kata sandi bila perlu).</t>
        </is>
      </c>
    </row>
    <row r="26">
      <c r="B26" s="6" t="inlineStr">
        <is>
          <t>Catatan</t>
        </is>
      </c>
      <c r="C26" s="7" t="n"/>
    </row>
    <row r="27" ht="16" customHeight="1">
      <c r="C27" s="9" t="inlineStr">
        <is>
          <t>• Seluruh data adalah simulasi buatan, bukan data perusahaan nyata.</t>
        </is>
      </c>
    </row>
    <row r="28" ht="30" customHeight="1">
      <c r="C28" s="9" t="inlineStr">
        <is>
          <t>• Hasil perhitungan adalah alat bantu; verifikasi dengan akuntan/konsultan sebelum dipakai untuk keputusan atau pelaporan resmi.</t>
        </is>
      </c>
    </row>
    <row r="29" ht="30" customHeight="1">
      <c r="C29" s="9" t="inlineStr">
        <is>
          <t>• Tarif BPJS, PTKP, dan tabel TER di berkas ini adalah nilai acuan dan DAPAT BERUBAH. Verifikasi dengan peraturan resmi (PP 58/2023, PMK 168/2023, ketentuan BPJS terbaru) sebelum dipakai untuk penggajian nyata.</t>
        </is>
      </c>
    </row>
    <row r="30" ht="30" customHeight="1">
      <c r="C30" s="9" t="inlineStr">
        <is>
          <t>• Tabel TER disalin dari sumber sekunder; cocokkan dengan lampiran resmi PMK 168/2023. Batas upah dan tarif BPJS Kesehatan perlu diverifikasi karena sering diperbarui.</t>
        </is>
      </c>
    </row>
    <row r="31" ht="30" customHeight="1">
      <c r="C31" s="9" t="inlineStr">
        <is>
          <t>• PPh 21 Januari–November memakai TER; Desember (masa pajak terakhir) memakai tarif progresif Pasal 17 dengan estimasi setahun dari penghasilan bulan terpilih (penyederhanaan). Laporan pajak resmi tetap harus melalui konsultan/aplikasi pajak.</t>
        </is>
      </c>
    </row>
    <row r="32" ht="30" customHeight="1">
      <c r="C32" s="9" t="inlineStr">
        <is>
          <t>• Kustomisasi: ganti nama tunjangan, tarif, daftar departemen/status, band gaji, bobot KPI, tabel rating, dan 2 kolom kustom di PARAMETER tanpa mengubah rumus. Perlu modul khusus? Hubungi WhatsApp 089623291732 (layanan Custom Pro).</t>
        </is>
      </c>
    </row>
    <row r="33" ht="30" customHeight="1">
      <c r="C33" s="9" t="inlineStr">
        <is>
          <t>• Data karyawan bersifat pribadi; simpan berkas ini dengan aman dan bagikan sesuai kebijakan privasi perusahaan Anda.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0" customWidth="1" min="4" max="4"/>
    <col width="20" customWidth="1" min="5" max="5"/>
    <col width="18" customWidth="1" min="6" max="6"/>
    <col width="14" customWidth="1" min="7" max="7"/>
    <col width="14" customWidth="1" min="8" max="8"/>
    <col width="20" customWidth="1" min="9" max="9"/>
  </cols>
  <sheetData>
    <row r="1" ht="24" customHeight="1">
      <c r="A1" s="13" t="inlineStr">
        <is>
          <t>Parameter &amp; Kustomisasi</t>
        </is>
      </c>
    </row>
    <row r="2">
      <c r="A2" s="14" t="inlineStr">
        <is>
          <t>Sel kuning = parameter kunci; sel biru = daftar yang bisa Anda ganti.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Nama perusahaan</t>
        </is>
      </c>
      <c r="C5" s="17" t="inlineStr">
        <is>
          <t>PT Nusantara Karya Mandiri (contoh)</t>
        </is>
      </c>
      <c r="D5" s="18" t="n"/>
      <c r="E5" s="19" t="n"/>
    </row>
    <row r="6">
      <c r="B6" s="16" t="inlineStr">
        <is>
          <t>Bulan payroll (1-12)</t>
        </is>
      </c>
      <c r="C6" s="20" t="n">
        <v>10</v>
      </c>
      <c r="F6" s="21" t="inlineStr">
        <is>
          <t>Bulan 12 memakai perhitungan PPh 21 progresif tahunan.</t>
        </is>
      </c>
    </row>
    <row r="7">
      <c r="B7" s="16" t="inlineStr">
        <is>
          <t>Tahun payroll</t>
        </is>
      </c>
      <c r="C7" s="20" t="n">
        <v>2026</v>
      </c>
    </row>
    <row r="8">
      <c r="B8" s="16" t="inlineStr">
        <is>
          <t>Hari kerja pada bulan payroll</t>
        </is>
      </c>
      <c r="C8" s="20" t="n">
        <v>22</v>
      </c>
    </row>
    <row r="9">
      <c r="B9" s="16" t="inlineStr">
        <is>
          <t>Pembagi upah per jam (jam/bulan)</t>
        </is>
      </c>
      <c r="C9" s="20" t="n">
        <v>173</v>
      </c>
    </row>
    <row r="10">
      <c r="B10" s="16" t="inlineStr">
        <is>
          <t>Pengali lembur rata-rata</t>
        </is>
      </c>
      <c r="C10" s="22" t="n">
        <v>1.75</v>
      </c>
      <c r="F10" s="21" t="inlineStr">
        <is>
          <t>Contoh 1,75; sesuaikan aturan lembur perusahaan.</t>
        </is>
      </c>
    </row>
    <row r="11">
      <c r="B11" s="23" t="inlineStr">
        <is>
          <t>Tunjangan Transport (per hari hadir)</t>
        </is>
      </c>
      <c r="C11" s="24" t="n">
        <v>25000</v>
      </c>
    </row>
    <row r="12">
      <c r="B12" s="23" t="inlineStr">
        <is>
          <t>Tunjangan Makan (per hari hadir)</t>
        </is>
      </c>
      <c r="C12" s="24" t="n">
        <v>30000</v>
      </c>
    </row>
    <row r="13">
      <c r="B13" s="16" t="inlineStr">
        <is>
          <t>Tanggal laporan</t>
        </is>
      </c>
      <c r="C13" s="25" t="n">
        <v>46326</v>
      </c>
    </row>
    <row r="14">
      <c r="B14" s="16" t="inlineStr">
        <is>
          <t>Jatah cuti tahunan (hari)</t>
        </is>
      </c>
      <c r="C14" s="20" t="n">
        <v>12</v>
      </c>
    </row>
    <row r="15">
      <c r="B15" s="16" t="inlineStr">
        <is>
          <t>Biaya jabatan (% penghasilan)</t>
        </is>
      </c>
      <c r="C15" s="26" t="n">
        <v>0.05</v>
      </c>
    </row>
    <row r="16">
      <c r="B16" s="16" t="inlineStr">
        <is>
          <t>Biaya jabatan maksimum per tahun (Rp)</t>
        </is>
      </c>
      <c r="C16" s="24" t="n">
        <v>6000000</v>
      </c>
    </row>
    <row r="17">
      <c r="B17" s="16" t="inlineStr">
        <is>
          <t>Nama kolom kustom 1 (tanggal)</t>
        </is>
      </c>
      <c r="C17" s="17" t="inlineStr">
        <is>
          <t>Tgl Akhir Kontrak</t>
        </is>
      </c>
    </row>
    <row r="18">
      <c r="B18" s="16" t="inlineStr">
        <is>
          <t>Nama kolom kustom 2 (teks)</t>
        </is>
      </c>
      <c r="C18" s="17" t="inlineStr">
        <is>
          <t>Catatan HR</t>
        </is>
      </c>
    </row>
    <row r="20">
      <c r="B20" s="6" t="inlineStr">
        <is>
          <t>TARIF BPJS (acuan, verifikasi dengan aturan terbaru)</t>
        </is>
      </c>
      <c r="C20" s="7" t="n"/>
      <c r="D20" s="7" t="n"/>
      <c r="E20" s="7" t="n"/>
    </row>
    <row r="21" ht="20" customHeight="1">
      <c r="B21" s="27" t="inlineStr">
        <is>
          <t>Komponen</t>
        </is>
      </c>
      <c r="C21" s="27" t="inlineStr">
        <is>
          <t>Perusahaan</t>
        </is>
      </c>
      <c r="D21" s="27" t="inlineStr">
        <is>
          <t>Karyawan</t>
        </is>
      </c>
      <c r="E21" s="27" t="inlineStr">
        <is>
          <t>Batas upah (Rp)</t>
        </is>
      </c>
    </row>
    <row r="22">
      <c r="B22" s="16" t="inlineStr">
        <is>
          <t>JHT (Jaminan Hari Tua)</t>
        </is>
      </c>
      <c r="C22" s="28" t="n">
        <v>0.037</v>
      </c>
      <c r="D22" s="28" t="n">
        <v>0.02</v>
      </c>
      <c r="E22" s="29" t="n">
        <v>9999999999</v>
      </c>
    </row>
    <row r="23">
      <c r="B23" s="16" t="inlineStr">
        <is>
          <t>JP (Jaminan Pensiun)</t>
        </is>
      </c>
      <c r="C23" s="28" t="n">
        <v>0.02</v>
      </c>
      <c r="D23" s="28" t="n">
        <v>0.01</v>
      </c>
      <c r="E23" s="29" t="n">
        <v>10547400</v>
      </c>
    </row>
    <row r="24">
      <c r="B24" s="16" t="inlineStr">
        <is>
          <t>JKK (Kecelakaan Kerja)</t>
        </is>
      </c>
      <c r="C24" s="28" t="n">
        <v>0.0024</v>
      </c>
      <c r="D24" s="28" t="n">
        <v>0</v>
      </c>
      <c r="E24" s="29" t="n">
        <v>9999999999</v>
      </c>
    </row>
    <row r="25">
      <c r="B25" s="16" t="inlineStr">
        <is>
          <t>JKM (Kematian)</t>
        </is>
      </c>
      <c r="C25" s="28" t="n">
        <v>0.003</v>
      </c>
      <c r="D25" s="28" t="n">
        <v>0</v>
      </c>
      <c r="E25" s="29" t="n">
        <v>9999999999</v>
      </c>
    </row>
    <row r="26">
      <c r="B26" s="16" t="inlineStr">
        <is>
          <t>BPJS Kesehatan</t>
        </is>
      </c>
      <c r="C26" s="28" t="n">
        <v>0.04</v>
      </c>
      <c r="D26" s="28" t="n">
        <v>0.01</v>
      </c>
      <c r="E26" s="29" t="n">
        <v>12000000</v>
      </c>
    </row>
    <row r="27">
      <c r="B27" s="21" t="inlineStr">
        <is>
          <t>Batas 9.999.999.999 = tanpa batas. JKK mengikuti kelas risiko usaha (default contoh 0,24%). JKP ditanggung pemerintah/rekomposisi JKK, tidak dimodelkan.</t>
        </is>
      </c>
    </row>
    <row r="29">
      <c r="B29" s="6" t="inlineStr">
        <is>
          <t>PTKP &amp; KATEGORI TER</t>
        </is>
      </c>
      <c r="C29" s="7" t="n"/>
      <c r="D29" s="7" t="n"/>
      <c r="F29" s="6" t="inlineStr">
        <is>
          <t>TARIF PROGRESIF PASAL 17</t>
        </is>
      </c>
      <c r="G29" s="7" t="n"/>
      <c r="H29" s="7" t="n"/>
    </row>
    <row r="30" ht="20" customHeight="1">
      <c r="B30" s="27" t="inlineStr">
        <is>
          <t>Status</t>
        </is>
      </c>
      <c r="C30" s="27" t="inlineStr">
        <is>
          <t>PTKP setahun (Rp)</t>
        </is>
      </c>
      <c r="D30" s="27" t="inlineStr">
        <is>
          <t>Kategori TER</t>
        </is>
      </c>
      <c r="F30" s="27" t="inlineStr">
        <is>
          <t>Batas bawah PKP (Rp)</t>
        </is>
      </c>
      <c r="G30" s="27" t="inlineStr">
        <is>
          <t>Tarif</t>
        </is>
      </c>
      <c r="H30" s="27" t="inlineStr">
        <is>
          <t>Selisih tarif</t>
        </is>
      </c>
    </row>
    <row r="31">
      <c r="B31" s="16" t="inlineStr">
        <is>
          <t>TK/0</t>
        </is>
      </c>
      <c r="C31" s="29" t="n">
        <v>54000000</v>
      </c>
      <c r="D31" s="30" t="inlineStr">
        <is>
          <t>A</t>
        </is>
      </c>
      <c r="F31" s="29" t="n">
        <v>0</v>
      </c>
      <c r="G31" s="31" t="n">
        <v>0.05</v>
      </c>
      <c r="H31" s="32">
        <f>G31</f>
        <v/>
      </c>
    </row>
    <row r="32">
      <c r="B32" s="16" t="inlineStr">
        <is>
          <t>TK/1</t>
        </is>
      </c>
      <c r="C32" s="29" t="n">
        <v>58500000</v>
      </c>
      <c r="D32" s="30" t="inlineStr">
        <is>
          <t>A</t>
        </is>
      </c>
      <c r="F32" s="29" t="n">
        <v>60000000</v>
      </c>
      <c r="G32" s="31" t="n">
        <v>0.15</v>
      </c>
      <c r="H32" s="32">
        <f>G32-G31</f>
        <v/>
      </c>
    </row>
    <row r="33">
      <c r="B33" s="16" t="inlineStr">
        <is>
          <t>TK/2</t>
        </is>
      </c>
      <c r="C33" s="29" t="n">
        <v>63000000</v>
      </c>
      <c r="D33" s="30" t="inlineStr">
        <is>
          <t>B</t>
        </is>
      </c>
      <c r="F33" s="29" t="n">
        <v>250000000</v>
      </c>
      <c r="G33" s="31" t="n">
        <v>0.25</v>
      </c>
      <c r="H33" s="32">
        <f>G33-G32</f>
        <v/>
      </c>
    </row>
    <row r="34">
      <c r="B34" s="16" t="inlineStr">
        <is>
          <t>TK/3</t>
        </is>
      </c>
      <c r="C34" s="29" t="n">
        <v>67500000</v>
      </c>
      <c r="D34" s="30" t="inlineStr">
        <is>
          <t>B</t>
        </is>
      </c>
      <c r="F34" s="29" t="n">
        <v>500000000</v>
      </c>
      <c r="G34" s="31" t="n">
        <v>0.3</v>
      </c>
      <c r="H34" s="32">
        <f>G34-G33</f>
        <v/>
      </c>
    </row>
    <row r="35">
      <c r="B35" s="16" t="inlineStr">
        <is>
          <t>K/0</t>
        </is>
      </c>
      <c r="C35" s="29" t="n">
        <v>58500000</v>
      </c>
      <c r="D35" s="30" t="inlineStr">
        <is>
          <t>A</t>
        </is>
      </c>
      <c r="F35" s="29" t="n">
        <v>5000000000</v>
      </c>
      <c r="G35" s="31" t="n">
        <v>0.35</v>
      </c>
      <c r="H35" s="32">
        <f>G35-G34</f>
        <v/>
      </c>
    </row>
    <row r="36">
      <c r="B36" s="16" t="inlineStr">
        <is>
          <t>K/1</t>
        </is>
      </c>
      <c r="C36" s="29" t="n">
        <v>63000000</v>
      </c>
      <c r="D36" s="30" t="inlineStr">
        <is>
          <t>B</t>
        </is>
      </c>
    </row>
    <row r="37">
      <c r="B37" s="16" t="inlineStr">
        <is>
          <t>K/2</t>
        </is>
      </c>
      <c r="C37" s="29" t="n">
        <v>67500000</v>
      </c>
      <c r="D37" s="30" t="inlineStr">
        <is>
          <t>B</t>
        </is>
      </c>
    </row>
    <row r="38">
      <c r="B38" s="16" t="inlineStr">
        <is>
          <t>K/3</t>
        </is>
      </c>
      <c r="C38" s="29" t="n">
        <v>72000000</v>
      </c>
      <c r="D38" s="30" t="inlineStr">
        <is>
          <t>C</t>
        </is>
      </c>
    </row>
    <row r="40">
      <c r="B40" s="6" t="inlineStr">
        <is>
          <t>DAFTAR PILIHAN (ganti sesuai perusahaan Anda)</t>
        </is>
      </c>
      <c r="C40" s="7" t="n"/>
      <c r="D40" s="7" t="n"/>
      <c r="E40" s="7" t="n"/>
      <c r="F40" s="7" t="n"/>
      <c r="G40" s="7" t="n"/>
      <c r="H40" s="7" t="n"/>
      <c r="I40" s="7" t="n"/>
    </row>
    <row r="41" ht="22" customHeight="1">
      <c r="B41" s="27" t="inlineStr">
        <is>
          <t>Departemen</t>
        </is>
      </c>
      <c r="C41" s="27" t="inlineStr">
        <is>
          <t>Status kerja</t>
        </is>
      </c>
      <c r="D41" s="27" t="inlineStr">
        <is>
          <t>Lokasi</t>
        </is>
      </c>
      <c r="E41" s="27" t="inlineStr">
        <is>
          <t>Tahap rekrutmen</t>
        </is>
      </c>
      <c r="F41" s="27" t="inlineStr">
        <is>
          <t>Sumber kandidat</t>
        </is>
      </c>
      <c r="G41" s="27" t="inlineStr">
        <is>
          <t>Jenis cuti</t>
        </is>
      </c>
      <c r="H41" s="27" t="inlineStr">
        <is>
          <t>Status cuti</t>
        </is>
      </c>
      <c r="I41" s="27" t="inlineStr">
        <is>
          <t>Kategori pelatihan</t>
        </is>
      </c>
    </row>
    <row r="42">
      <c r="B42" s="33" t="inlineStr">
        <is>
          <t>Operasional</t>
        </is>
      </c>
      <c r="C42" s="33" t="inlineStr">
        <is>
          <t>Tetap</t>
        </is>
      </c>
      <c r="D42" s="33" t="inlineStr">
        <is>
          <t>Jakarta</t>
        </is>
      </c>
      <c r="E42" s="33" t="inlineStr">
        <is>
          <t>Lamaran</t>
        </is>
      </c>
      <c r="F42" s="33" t="inlineStr">
        <is>
          <t>LinkedIn</t>
        </is>
      </c>
      <c r="G42" s="33" t="inlineStr">
        <is>
          <t>Tahunan</t>
        </is>
      </c>
      <c r="H42" s="33" t="inlineStr">
        <is>
          <t>Disetujui</t>
        </is>
      </c>
      <c r="I42" s="33" t="inlineStr">
        <is>
          <t>Teknis</t>
        </is>
      </c>
    </row>
    <row r="43">
      <c r="B43" s="33" t="inlineStr">
        <is>
          <t>Keuangan</t>
        </is>
      </c>
      <c r="C43" s="33" t="inlineStr">
        <is>
          <t>Kontrak</t>
        </is>
      </c>
      <c r="D43" s="33" t="inlineStr">
        <is>
          <t>Bandung</t>
        </is>
      </c>
      <c r="E43" s="33" t="inlineStr">
        <is>
          <t>Screening</t>
        </is>
      </c>
      <c r="F43" s="33" t="inlineStr">
        <is>
          <t>Jobstreet</t>
        </is>
      </c>
      <c r="G43" s="33" t="inlineStr">
        <is>
          <t>Sakit</t>
        </is>
      </c>
      <c r="H43" s="33" t="inlineStr">
        <is>
          <t>Menunggu</t>
        </is>
      </c>
      <c r="I43" s="33" t="inlineStr">
        <is>
          <t>Kepemimpinan</t>
        </is>
      </c>
    </row>
    <row r="44">
      <c r="B44" s="33" t="inlineStr">
        <is>
          <t>Pemasaran</t>
        </is>
      </c>
      <c r="C44" s="33" t="inlineStr">
        <is>
          <t>Probation</t>
        </is>
      </c>
      <c r="D44" s="33" t="inlineStr">
        <is>
          <t>Surabaya</t>
        </is>
      </c>
      <c r="E44" s="33" t="inlineStr">
        <is>
          <t>Interview HR</t>
        </is>
      </c>
      <c r="F44" s="33" t="inlineStr">
        <is>
          <t>Referral</t>
        </is>
      </c>
      <c r="G44" s="33" t="inlineStr">
        <is>
          <t>Melahirkan</t>
        </is>
      </c>
      <c r="H44" s="33" t="inlineStr">
        <is>
          <t>Ditolak</t>
        </is>
      </c>
      <c r="I44" s="33" t="inlineStr">
        <is>
          <t>Soft Skill</t>
        </is>
      </c>
    </row>
    <row r="45">
      <c r="B45" s="33" t="inlineStr">
        <is>
          <t>SDM</t>
        </is>
      </c>
      <c r="C45" s="33" t="inlineStr">
        <is>
          <t>Magang</t>
        </is>
      </c>
      <c r="D45" s="33" t="inlineStr">
        <is>
          <t>Yogyakarta</t>
        </is>
      </c>
      <c r="E45" s="33" t="inlineStr">
        <is>
          <t>Interview User</t>
        </is>
      </c>
      <c r="F45" s="33" t="inlineStr">
        <is>
          <t>Situs Karier</t>
        </is>
      </c>
      <c r="G45" s="33" t="inlineStr">
        <is>
          <t>Izin Khusus</t>
        </is>
      </c>
      <c r="H45" s="33" t="n"/>
      <c r="I45" s="33" t="inlineStr">
        <is>
          <t>Kepatuhan &amp; K3</t>
        </is>
      </c>
    </row>
    <row r="46">
      <c r="B46" s="33" t="inlineStr">
        <is>
          <t>Teknologi</t>
        </is>
      </c>
      <c r="C46" s="33" t="inlineStr">
        <is>
          <t>Resign</t>
        </is>
      </c>
      <c r="D46" s="33" t="n"/>
      <c r="E46" s="33" t="inlineStr">
        <is>
          <t>Penawaran</t>
        </is>
      </c>
      <c r="F46" s="33" t="inlineStr">
        <is>
          <t>Kampus</t>
        </is>
      </c>
      <c r="G46" s="33" t="inlineStr">
        <is>
          <t>Tanpa Gaji</t>
        </is>
      </c>
      <c r="H46" s="33" t="n"/>
      <c r="I46" s="33" t="inlineStr">
        <is>
          <t>Digital</t>
        </is>
      </c>
    </row>
    <row r="47">
      <c r="B47" s="33" t="inlineStr">
        <is>
          <t>Penjualan</t>
        </is>
      </c>
      <c r="C47" s="33" t="n"/>
      <c r="D47" s="33" t="n"/>
      <c r="E47" s="33" t="inlineStr">
        <is>
          <t>Diterima</t>
        </is>
      </c>
      <c r="F47" s="33" t="inlineStr">
        <is>
          <t>Walk-in</t>
        </is>
      </c>
      <c r="G47" s="33" t="n"/>
      <c r="H47" s="33" t="n"/>
      <c r="I47" s="33" t="n"/>
    </row>
    <row r="48">
      <c r="B48" s="33" t="n"/>
      <c r="C48" s="33" t="n"/>
      <c r="D48" s="33" t="n"/>
      <c r="E48" s="33" t="inlineStr">
        <is>
          <t>Ditolak</t>
        </is>
      </c>
      <c r="F48" s="33" t="n"/>
      <c r="G48" s="33" t="n"/>
      <c r="H48" s="33" t="n"/>
      <c r="I48" s="33" t="n"/>
    </row>
    <row r="49">
      <c r="B49" s="33" t="n"/>
      <c r="C49" s="33" t="n"/>
      <c r="D49" s="33" t="n"/>
      <c r="E49" s="33" t="n"/>
      <c r="F49" s="33" t="n"/>
      <c r="G49" s="33" t="n"/>
      <c r="H49" s="33" t="n"/>
      <c r="I49" s="33" t="n"/>
    </row>
    <row r="50">
      <c r="B50" s="21" t="inlineStr">
        <is>
          <t>Status kerja 'Resign' dan tahap 'Diterima'/'Ditolak' dipakai dalam rumus; jangan ubah ejaannya. Kategori lain bebas diganti.</t>
        </is>
      </c>
    </row>
    <row r="52">
      <c r="B52" s="6" t="inlineStr">
        <is>
          <t>BAND GAJI PER GRADE (Rp)</t>
        </is>
      </c>
      <c r="C52" s="7" t="n"/>
      <c r="D52" s="7" t="n"/>
    </row>
    <row r="53" ht="20" customHeight="1">
      <c r="B53" s="27" t="inlineStr">
        <is>
          <t>Grade</t>
        </is>
      </c>
      <c r="C53" s="27" t="inlineStr">
        <is>
          <t>Gaji pokok minimum</t>
        </is>
      </c>
      <c r="D53" s="27" t="inlineStr">
        <is>
          <t>Gaji pokok maksimum</t>
        </is>
      </c>
    </row>
    <row r="54">
      <c r="B54" s="33" t="inlineStr">
        <is>
          <t>G1</t>
        </is>
      </c>
      <c r="C54" s="34" t="n">
        <v>5000000</v>
      </c>
      <c r="D54" s="34" t="n">
        <v>7500000</v>
      </c>
    </row>
    <row r="55">
      <c r="B55" s="33" t="inlineStr">
        <is>
          <t>G2</t>
        </is>
      </c>
      <c r="C55" s="34" t="n">
        <v>6500000</v>
      </c>
      <c r="D55" s="34" t="n">
        <v>10000000</v>
      </c>
    </row>
    <row r="56">
      <c r="B56" s="33" t="inlineStr">
        <is>
          <t>G3</t>
        </is>
      </c>
      <c r="C56" s="34" t="n">
        <v>9000000</v>
      </c>
      <c r="D56" s="34" t="n">
        <v>14000000</v>
      </c>
    </row>
    <row r="57">
      <c r="B57" s="33" t="inlineStr">
        <is>
          <t>G4</t>
        </is>
      </c>
      <c r="C57" s="34" t="n">
        <v>13000000</v>
      </c>
      <c r="D57" s="34" t="n">
        <v>21000000</v>
      </c>
    </row>
    <row r="58">
      <c r="B58" s="33" t="inlineStr">
        <is>
          <t>G5</t>
        </is>
      </c>
      <c r="C58" s="34" t="n">
        <v>19000000</v>
      </c>
      <c r="D58" s="34" t="n">
        <v>32000000</v>
      </c>
    </row>
    <row r="59">
      <c r="B59" s="33" t="inlineStr">
        <is>
          <t>G6</t>
        </is>
      </c>
      <c r="C59" s="34" t="n">
        <v>30000000</v>
      </c>
      <c r="D59" s="34" t="n">
        <v>55000000</v>
      </c>
    </row>
    <row r="60">
      <c r="B60" s="33" t="n"/>
      <c r="C60" s="34" t="n"/>
      <c r="D60" s="34" t="n"/>
    </row>
    <row r="61">
      <c r="B61" s="33" t="n"/>
      <c r="C61" s="34" t="n"/>
      <c r="D61" s="3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3:I3"/>
    <mergeCell ref="C5:E5"/>
  </mergeCells>
  <dataValidations count="4">
    <dataValidation sqref="C6" showDropDown="0" showInputMessage="0" showErrorMessage="1" allowBlank="1" error="Isi angka antara 1 dan 12" type="whole" operator="between">
      <formula1>1</formula1>
      <formula2>12</formula2>
    </dataValidation>
    <dataValidation sqref="C8" showDropDown="0" showInputMessage="0" showErrorMessage="1" allowBlank="1" error="Isi angka antara 1 dan 31" type="whole" operator="between">
      <formula1>1</formula1>
      <formula2>31</formula2>
    </dataValidation>
    <dataValidation sqref="C10" showDropDown="0" showInputMessage="0" showErrorMessage="1" allowBlank="1" error="Isi angka antara 1 dan 4" type="decimal" operator="between">
      <formula1>1</formula1>
      <formula2>4</formula2>
    </dataValidation>
    <dataValidation sqref="D31:D38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0" customWidth="1" min="3" max="3"/>
    <col width="3" customWidth="1" min="4" max="4"/>
    <col width="20" customWidth="1" min="5" max="5"/>
    <col width="10" customWidth="1" min="6" max="6"/>
    <col width="3" customWidth="1" min="7" max="7"/>
    <col width="20" customWidth="1" min="8" max="8"/>
    <col width="10" customWidth="1" min="9" max="9"/>
  </cols>
  <sheetData>
    <row r="1" ht="24" customHeight="1">
      <c r="A1" s="13" t="inlineStr">
        <is>
          <t>Tarif Efektif Rata-rata (TER) PPh 21</t>
        </is>
      </c>
    </row>
    <row r="2">
      <c r="A2" s="14" t="inlineStr">
        <is>
          <t>Batas bawah penghasilan bruto bulanan (Rp) dan tarif. Verifikasi dengan lampiran resmi PMK 168/2023.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6" t="inlineStr">
        <is>
          <t>KATEGORI A</t>
        </is>
      </c>
      <c r="C5" s="7" t="n"/>
      <c r="E5" s="6" t="inlineStr">
        <is>
          <t>KATEGORI B</t>
        </is>
      </c>
      <c r="F5" s="7" t="n"/>
      <c r="H5" s="6" t="inlineStr">
        <is>
          <t>KATEGORI C</t>
        </is>
      </c>
      <c r="I5" s="7" t="n"/>
    </row>
    <row r="6" ht="20" customHeight="1">
      <c r="B6" s="27" t="inlineStr">
        <is>
          <t>Dari (Rp)</t>
        </is>
      </c>
      <c r="C6" s="27" t="inlineStr">
        <is>
          <t>Tarif</t>
        </is>
      </c>
      <c r="E6" s="27" t="inlineStr">
        <is>
          <t>Dari (Rp)</t>
        </is>
      </c>
      <c r="F6" s="27" t="inlineStr">
        <is>
          <t>Tarif</t>
        </is>
      </c>
      <c r="H6" s="27" t="inlineStr">
        <is>
          <t>Dari (Rp)</t>
        </is>
      </c>
      <c r="I6" s="27" t="inlineStr">
        <is>
          <t>Tarif</t>
        </is>
      </c>
    </row>
    <row r="7">
      <c r="B7" s="34" t="n">
        <v>0</v>
      </c>
      <c r="C7" s="35" t="n">
        <v>0</v>
      </c>
      <c r="E7" s="34" t="n">
        <v>0</v>
      </c>
      <c r="F7" s="35" t="n">
        <v>0</v>
      </c>
      <c r="H7" s="34" t="n">
        <v>0</v>
      </c>
      <c r="I7" s="35" t="n">
        <v>0</v>
      </c>
    </row>
    <row r="8">
      <c r="B8" s="34" t="n">
        <v>5400001</v>
      </c>
      <c r="C8" s="35" t="n">
        <v>0.0025</v>
      </c>
      <c r="E8" s="34" t="n">
        <v>6200001</v>
      </c>
      <c r="F8" s="35" t="n">
        <v>0.0025</v>
      </c>
      <c r="H8" s="34" t="n">
        <v>6600001</v>
      </c>
      <c r="I8" s="35" t="n">
        <v>0.0025</v>
      </c>
    </row>
    <row r="9">
      <c r="B9" s="34" t="n">
        <v>5650001</v>
      </c>
      <c r="C9" s="35" t="n">
        <v>0.005</v>
      </c>
      <c r="E9" s="34" t="n">
        <v>6500001</v>
      </c>
      <c r="F9" s="35" t="n">
        <v>0.005</v>
      </c>
      <c r="H9" s="34" t="n">
        <v>6950001</v>
      </c>
      <c r="I9" s="35" t="n">
        <v>0.005</v>
      </c>
    </row>
    <row r="10">
      <c r="B10" s="34" t="n">
        <v>5950001</v>
      </c>
      <c r="C10" s="35" t="n">
        <v>0.0075</v>
      </c>
      <c r="E10" s="34" t="n">
        <v>6850001</v>
      </c>
      <c r="F10" s="35" t="n">
        <v>0.0075</v>
      </c>
      <c r="H10" s="34" t="n">
        <v>7350001</v>
      </c>
      <c r="I10" s="35" t="n">
        <v>0.0075</v>
      </c>
    </row>
    <row r="11">
      <c r="B11" s="34" t="n">
        <v>6300001</v>
      </c>
      <c r="C11" s="35" t="n">
        <v>0.01</v>
      </c>
      <c r="E11" s="34" t="n">
        <v>7300001</v>
      </c>
      <c r="F11" s="35" t="n">
        <v>0.01</v>
      </c>
      <c r="H11" s="34" t="n">
        <v>7800001</v>
      </c>
      <c r="I11" s="35" t="n">
        <v>0.01</v>
      </c>
    </row>
    <row r="12">
      <c r="B12" s="34" t="n">
        <v>6750001</v>
      </c>
      <c r="C12" s="35" t="n">
        <v>0.0125</v>
      </c>
      <c r="E12" s="34" t="n">
        <v>9200001</v>
      </c>
      <c r="F12" s="35" t="n">
        <v>0.015</v>
      </c>
      <c r="H12" s="34" t="n">
        <v>8850001</v>
      </c>
      <c r="I12" s="35" t="n">
        <v>0.0125</v>
      </c>
    </row>
    <row r="13">
      <c r="B13" s="34" t="n">
        <v>7500001</v>
      </c>
      <c r="C13" s="35" t="n">
        <v>0.015</v>
      </c>
      <c r="E13" s="34" t="n">
        <v>10750001</v>
      </c>
      <c r="F13" s="35" t="n">
        <v>0.02</v>
      </c>
      <c r="H13" s="34" t="n">
        <v>9800001</v>
      </c>
      <c r="I13" s="35" t="n">
        <v>0.015</v>
      </c>
    </row>
    <row r="14">
      <c r="B14" s="34" t="n">
        <v>8550001</v>
      </c>
      <c r="C14" s="35" t="n">
        <v>0.0175</v>
      </c>
      <c r="E14" s="34" t="n">
        <v>11250001</v>
      </c>
      <c r="F14" s="35" t="n">
        <v>0.025</v>
      </c>
      <c r="H14" s="34" t="n">
        <v>10950001</v>
      </c>
      <c r="I14" s="35" t="n">
        <v>0.0175</v>
      </c>
    </row>
    <row r="15">
      <c r="B15" s="34" t="n">
        <v>9650001</v>
      </c>
      <c r="C15" s="35" t="n">
        <v>0.02</v>
      </c>
      <c r="E15" s="34" t="n">
        <v>11600001</v>
      </c>
      <c r="F15" s="35" t="n">
        <v>0.03</v>
      </c>
      <c r="H15" s="34" t="n">
        <v>11200001</v>
      </c>
      <c r="I15" s="35" t="n">
        <v>0.02</v>
      </c>
    </row>
    <row r="16">
      <c r="B16" s="34" t="n">
        <v>10050001</v>
      </c>
      <c r="C16" s="35" t="n">
        <v>0.0225</v>
      </c>
      <c r="E16" s="34" t="n">
        <v>12600001</v>
      </c>
      <c r="F16" s="35" t="n">
        <v>0.04</v>
      </c>
      <c r="H16" s="34" t="n">
        <v>12050001</v>
      </c>
      <c r="I16" s="35" t="n">
        <v>0.03</v>
      </c>
    </row>
    <row r="17">
      <c r="B17" s="34" t="n">
        <v>10350001</v>
      </c>
      <c r="C17" s="35" t="n">
        <v>0.025</v>
      </c>
      <c r="E17" s="34" t="n">
        <v>13600001</v>
      </c>
      <c r="F17" s="35" t="n">
        <v>0.05</v>
      </c>
      <c r="H17" s="34" t="n">
        <v>12950001</v>
      </c>
      <c r="I17" s="35" t="n">
        <v>0.04</v>
      </c>
    </row>
    <row r="18">
      <c r="B18" s="34" t="n">
        <v>10700001</v>
      </c>
      <c r="C18" s="35" t="n">
        <v>0.03</v>
      </c>
      <c r="E18" s="34" t="n">
        <v>14950001</v>
      </c>
      <c r="F18" s="35" t="n">
        <v>0.06</v>
      </c>
      <c r="H18" s="34" t="n">
        <v>14150001</v>
      </c>
      <c r="I18" s="35" t="n">
        <v>0.05</v>
      </c>
    </row>
    <row r="19">
      <c r="B19" s="34" t="n">
        <v>11050001</v>
      </c>
      <c r="C19" s="35" t="n">
        <v>0.035</v>
      </c>
      <c r="E19" s="34" t="n">
        <v>16400001</v>
      </c>
      <c r="F19" s="35" t="n">
        <v>0.07000000000000001</v>
      </c>
      <c r="H19" s="34" t="n">
        <v>15550001</v>
      </c>
      <c r="I19" s="35" t="n">
        <v>0.06</v>
      </c>
    </row>
    <row r="20">
      <c r="B20" s="34" t="n">
        <v>11600001</v>
      </c>
      <c r="C20" s="35" t="n">
        <v>0.04</v>
      </c>
      <c r="E20" s="34" t="n">
        <v>18450001</v>
      </c>
      <c r="F20" s="35" t="n">
        <v>0.08</v>
      </c>
      <c r="H20" s="34" t="n">
        <v>17050001</v>
      </c>
      <c r="I20" s="35" t="n">
        <v>0.07000000000000001</v>
      </c>
    </row>
    <row r="21">
      <c r="B21" s="34" t="n">
        <v>12500001</v>
      </c>
      <c r="C21" s="35" t="n">
        <v>0.05</v>
      </c>
      <c r="E21" s="34" t="n">
        <v>21850001</v>
      </c>
      <c r="F21" s="35" t="n">
        <v>0.09</v>
      </c>
      <c r="H21" s="34" t="n">
        <v>19500001</v>
      </c>
      <c r="I21" s="35" t="n">
        <v>0.08</v>
      </c>
    </row>
    <row r="22">
      <c r="B22" s="34" t="n">
        <v>13750001</v>
      </c>
      <c r="C22" s="35" t="n">
        <v>0.06</v>
      </c>
      <c r="E22" s="34" t="n">
        <v>26000001</v>
      </c>
      <c r="F22" s="35" t="n">
        <v>0.1</v>
      </c>
      <c r="H22" s="34" t="n">
        <v>22700001</v>
      </c>
      <c r="I22" s="35" t="n">
        <v>0.09</v>
      </c>
    </row>
    <row r="23">
      <c r="B23" s="34" t="n">
        <v>15100001</v>
      </c>
      <c r="C23" s="35" t="n">
        <v>0.07000000000000001</v>
      </c>
      <c r="E23" s="34" t="n">
        <v>27700001</v>
      </c>
      <c r="F23" s="35" t="n">
        <v>0.11</v>
      </c>
      <c r="H23" s="34" t="n">
        <v>26600001</v>
      </c>
      <c r="I23" s="35" t="n">
        <v>0.1</v>
      </c>
    </row>
    <row r="24">
      <c r="B24" s="34" t="n">
        <v>16950001</v>
      </c>
      <c r="C24" s="35" t="n">
        <v>0.08</v>
      </c>
      <c r="E24" s="34" t="n">
        <v>29350001</v>
      </c>
      <c r="F24" s="35" t="n">
        <v>0.12</v>
      </c>
      <c r="H24" s="34" t="n">
        <v>28100001</v>
      </c>
      <c r="I24" s="35" t="n">
        <v>0.11</v>
      </c>
    </row>
    <row r="25">
      <c r="B25" s="34" t="n">
        <v>19750001</v>
      </c>
      <c r="C25" s="35" t="n">
        <v>0.09</v>
      </c>
      <c r="E25" s="34" t="n">
        <v>31450001</v>
      </c>
      <c r="F25" s="35" t="n">
        <v>0.13</v>
      </c>
      <c r="H25" s="34" t="n">
        <v>30100001</v>
      </c>
      <c r="I25" s="35" t="n">
        <v>0.12</v>
      </c>
    </row>
    <row r="26">
      <c r="B26" s="34" t="n">
        <v>24150001</v>
      </c>
      <c r="C26" s="35" t="n">
        <v>0.1</v>
      </c>
      <c r="E26" s="34" t="n">
        <v>33950001</v>
      </c>
      <c r="F26" s="35" t="n">
        <v>0.14</v>
      </c>
      <c r="H26" s="34" t="n">
        <v>32600001</v>
      </c>
      <c r="I26" s="35" t="n">
        <v>0.13</v>
      </c>
    </row>
    <row r="27">
      <c r="B27" s="34" t="n">
        <v>26450001</v>
      </c>
      <c r="C27" s="35" t="n">
        <v>0.11</v>
      </c>
      <c r="E27" s="34" t="n">
        <v>37100001</v>
      </c>
      <c r="F27" s="35" t="n">
        <v>0.15</v>
      </c>
      <c r="H27" s="34" t="n">
        <v>35400001</v>
      </c>
      <c r="I27" s="35" t="n">
        <v>0.14</v>
      </c>
    </row>
    <row r="28">
      <c r="B28" s="34" t="n">
        <v>28000001</v>
      </c>
      <c r="C28" s="35" t="n">
        <v>0.12</v>
      </c>
      <c r="E28" s="34" t="n">
        <v>41100001</v>
      </c>
      <c r="F28" s="35" t="n">
        <v>0.16</v>
      </c>
      <c r="H28" s="34" t="n">
        <v>38900001</v>
      </c>
      <c r="I28" s="35" t="n">
        <v>0.15</v>
      </c>
    </row>
    <row r="29">
      <c r="B29" s="34" t="n">
        <v>30050001</v>
      </c>
      <c r="C29" s="35" t="n">
        <v>0.13</v>
      </c>
      <c r="E29" s="34" t="n">
        <v>45800001</v>
      </c>
      <c r="F29" s="35" t="n">
        <v>0.17</v>
      </c>
      <c r="H29" s="34" t="n">
        <v>43000001</v>
      </c>
      <c r="I29" s="35" t="n">
        <v>0.16</v>
      </c>
    </row>
    <row r="30">
      <c r="B30" s="34" t="n">
        <v>32400001</v>
      </c>
      <c r="C30" s="35" t="n">
        <v>0.14</v>
      </c>
      <c r="E30" s="34" t="n">
        <v>49500001</v>
      </c>
      <c r="F30" s="35" t="n">
        <v>0.18</v>
      </c>
      <c r="H30" s="34" t="n">
        <v>47400001</v>
      </c>
      <c r="I30" s="35" t="n">
        <v>0.17</v>
      </c>
    </row>
    <row r="31">
      <c r="B31" s="34" t="n">
        <v>35400001</v>
      </c>
      <c r="C31" s="35" t="n">
        <v>0.15</v>
      </c>
      <c r="E31" s="34" t="n">
        <v>53800001</v>
      </c>
      <c r="F31" s="35" t="n">
        <v>0.19</v>
      </c>
      <c r="H31" s="34" t="n">
        <v>51200001</v>
      </c>
      <c r="I31" s="35" t="n">
        <v>0.18</v>
      </c>
    </row>
    <row r="32">
      <c r="B32" s="34" t="n">
        <v>39100001</v>
      </c>
      <c r="C32" s="35" t="n">
        <v>0.16</v>
      </c>
      <c r="E32" s="34" t="n">
        <v>58500001</v>
      </c>
      <c r="F32" s="35" t="n">
        <v>0.2</v>
      </c>
      <c r="H32" s="34" t="n">
        <v>55800001</v>
      </c>
      <c r="I32" s="35" t="n">
        <v>0.19</v>
      </c>
    </row>
    <row r="33">
      <c r="B33" s="34" t="n">
        <v>43850001</v>
      </c>
      <c r="C33" s="35" t="n">
        <v>0.17</v>
      </c>
      <c r="E33" s="34" t="n">
        <v>64000001</v>
      </c>
      <c r="F33" s="35" t="n">
        <v>0.21</v>
      </c>
      <c r="H33" s="34" t="n">
        <v>60400001</v>
      </c>
      <c r="I33" s="35" t="n">
        <v>0.2</v>
      </c>
    </row>
    <row r="34">
      <c r="B34" s="34" t="n">
        <v>47800001</v>
      </c>
      <c r="C34" s="35" t="n">
        <v>0.18</v>
      </c>
      <c r="E34" s="34" t="n">
        <v>71000001</v>
      </c>
      <c r="F34" s="35" t="n">
        <v>0.22</v>
      </c>
      <c r="H34" s="34" t="n">
        <v>66700001</v>
      </c>
      <c r="I34" s="35" t="n">
        <v>0.21</v>
      </c>
    </row>
    <row r="35">
      <c r="B35" s="34" t="n">
        <v>51400001</v>
      </c>
      <c r="C35" s="35" t="n">
        <v>0.19</v>
      </c>
      <c r="E35" s="34" t="n">
        <v>80000001</v>
      </c>
      <c r="F35" s="35" t="n">
        <v>0.23</v>
      </c>
      <c r="H35" s="34" t="n">
        <v>74500001</v>
      </c>
      <c r="I35" s="35" t="n">
        <v>0.22</v>
      </c>
    </row>
    <row r="36">
      <c r="B36" s="34" t="n">
        <v>56300001</v>
      </c>
      <c r="C36" s="35" t="n">
        <v>0.2</v>
      </c>
      <c r="E36" s="34" t="n">
        <v>93000001</v>
      </c>
      <c r="F36" s="35" t="n">
        <v>0.24</v>
      </c>
      <c r="H36" s="34" t="n">
        <v>83200001</v>
      </c>
      <c r="I36" s="35" t="n">
        <v>0.23</v>
      </c>
    </row>
    <row r="37">
      <c r="B37" s="34" t="n">
        <v>62200001</v>
      </c>
      <c r="C37" s="35" t="n">
        <v>0.21</v>
      </c>
      <c r="E37" s="34" t="n">
        <v>109000001</v>
      </c>
      <c r="F37" s="35" t="n">
        <v>0.25</v>
      </c>
      <c r="H37" s="34" t="n">
        <v>95600001</v>
      </c>
      <c r="I37" s="35" t="n">
        <v>0.24</v>
      </c>
    </row>
    <row r="38">
      <c r="B38" s="34" t="n">
        <v>68600001</v>
      </c>
      <c r="C38" s="35" t="n">
        <v>0.22</v>
      </c>
      <c r="E38" s="34" t="n">
        <v>129000001</v>
      </c>
      <c r="F38" s="35" t="n">
        <v>0.26</v>
      </c>
      <c r="H38" s="34" t="n">
        <v>110000001</v>
      </c>
      <c r="I38" s="35" t="n">
        <v>0.25</v>
      </c>
    </row>
    <row r="39">
      <c r="B39" s="34" t="n">
        <v>77500001</v>
      </c>
      <c r="C39" s="35" t="n">
        <v>0.23</v>
      </c>
      <c r="E39" s="34" t="n">
        <v>163000001</v>
      </c>
      <c r="F39" s="35" t="n">
        <v>0.27</v>
      </c>
      <c r="H39" s="34" t="n">
        <v>134000001</v>
      </c>
      <c r="I39" s="35" t="n">
        <v>0.26</v>
      </c>
    </row>
    <row r="40">
      <c r="B40" s="34" t="n">
        <v>89000001</v>
      </c>
      <c r="C40" s="35" t="n">
        <v>0.24</v>
      </c>
      <c r="E40" s="34" t="n">
        <v>211000001</v>
      </c>
      <c r="F40" s="35" t="n">
        <v>0.28</v>
      </c>
      <c r="H40" s="34" t="n">
        <v>169000001</v>
      </c>
      <c r="I40" s="35" t="n">
        <v>0.27</v>
      </c>
    </row>
    <row r="41">
      <c r="B41" s="34" t="n">
        <v>103000001</v>
      </c>
      <c r="C41" s="35" t="n">
        <v>0.25</v>
      </c>
      <c r="E41" s="34" t="n">
        <v>374000001</v>
      </c>
      <c r="F41" s="35" t="n">
        <v>0.29</v>
      </c>
      <c r="H41" s="34" t="n">
        <v>221000001</v>
      </c>
      <c r="I41" s="35" t="n">
        <v>0.28</v>
      </c>
    </row>
    <row r="42">
      <c r="B42" s="34" t="n">
        <v>125000001</v>
      </c>
      <c r="C42" s="35" t="n">
        <v>0.26</v>
      </c>
      <c r="E42" s="34" t="n">
        <v>459000001</v>
      </c>
      <c r="F42" s="35" t="n">
        <v>0.3</v>
      </c>
      <c r="H42" s="34" t="n">
        <v>390000001</v>
      </c>
      <c r="I42" s="35" t="n">
        <v>0.29</v>
      </c>
    </row>
    <row r="43">
      <c r="B43" s="34" t="n">
        <v>157000001</v>
      </c>
      <c r="C43" s="35" t="n">
        <v>0.27</v>
      </c>
      <c r="E43" s="34" t="n">
        <v>555000001</v>
      </c>
      <c r="F43" s="35" t="n">
        <v>0.31</v>
      </c>
      <c r="H43" s="34" t="n">
        <v>463000001</v>
      </c>
      <c r="I43" s="35" t="n">
        <v>0.3</v>
      </c>
    </row>
    <row r="44">
      <c r="B44" s="34" t="n">
        <v>206000001</v>
      </c>
      <c r="C44" s="35" t="n">
        <v>0.28</v>
      </c>
      <c r="E44" s="34" t="n">
        <v>704000001</v>
      </c>
      <c r="F44" s="35" t="n">
        <v>0.32</v>
      </c>
      <c r="H44" s="34" t="n">
        <v>561000001</v>
      </c>
      <c r="I44" s="35" t="n">
        <v>0.31</v>
      </c>
    </row>
    <row r="45">
      <c r="B45" s="34" t="n">
        <v>337000001</v>
      </c>
      <c r="C45" s="35" t="n">
        <v>0.29</v>
      </c>
      <c r="E45" s="34" t="n">
        <v>957000001</v>
      </c>
      <c r="F45" s="35" t="n">
        <v>0.33</v>
      </c>
      <c r="H45" s="34" t="n">
        <v>709000001</v>
      </c>
      <c r="I45" s="35" t="n">
        <v>0.32</v>
      </c>
    </row>
    <row r="46">
      <c r="B46" s="34" t="n">
        <v>454000001</v>
      </c>
      <c r="C46" s="35" t="n">
        <v>0.3</v>
      </c>
      <c r="E46" s="34" t="n">
        <v>1405000001</v>
      </c>
      <c r="F46" s="35" t="n">
        <v>0.34</v>
      </c>
      <c r="H46" s="34" t="n">
        <v>965000001</v>
      </c>
      <c r="I46" s="35" t="n">
        <v>0.33</v>
      </c>
    </row>
    <row r="47">
      <c r="B47" s="34" t="n">
        <v>550000001</v>
      </c>
      <c r="C47" s="35" t="n">
        <v>0.31</v>
      </c>
      <c r="H47" s="34" t="n">
        <v>1419000001</v>
      </c>
      <c r="I47" s="35" t="n">
        <v>0.34</v>
      </c>
    </row>
    <row r="48">
      <c r="B48" s="34" t="n">
        <v>695000001</v>
      </c>
      <c r="C48" s="35" t="n">
        <v>0.32</v>
      </c>
    </row>
    <row r="49">
      <c r="B49" s="34" t="n">
        <v>910000001</v>
      </c>
      <c r="C49" s="35" t="n">
        <v>0.33</v>
      </c>
    </row>
    <row r="50">
      <c r="B50" s="34" t="n">
        <v>1400000001</v>
      </c>
      <c r="C50" s="35" t="n">
        <v>0.34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1" customWidth="1" min="4" max="4"/>
    <col width="14" customWidth="1" min="5" max="5"/>
    <col width="15" customWidth="1" min="6" max="6"/>
    <col width="7" customWidth="1" min="7" max="7"/>
    <col width="11" customWidth="1" min="8" max="8"/>
    <col width="11" customWidth="1" min="9" max="9"/>
    <col width="8" customWidth="1" min="10" max="10"/>
    <col width="14" customWidth="1" min="11" max="11"/>
    <col width="14" customWidth="1" min="12" max="12"/>
    <col width="20" customWidth="1" min="13" max="13"/>
    <col width="12" customWidth="1" min="14" max="14"/>
    <col width="11" customWidth="1" min="15" max="15"/>
    <col width="14" customWidth="1" min="16" max="16"/>
    <col width="22" customWidth="1" min="17" max="17"/>
    <col width="8" customWidth="1" min="18" max="18"/>
    <col width="9" customWidth="1" min="19" max="19"/>
    <col width="9" customWidth="1" min="20" max="20"/>
    <col width="8" customWidth="1" min="21" max="21"/>
    <col width="14" customWidth="1" min="22" max="22"/>
  </cols>
  <sheetData>
    <row r="1" ht="24" customHeight="1">
      <c r="A1" s="13" t="inlineStr">
        <is>
          <t>Master Karyawan</t>
        </is>
      </c>
    </row>
    <row r="2">
      <c r="A2" s="14" t="inlineStr">
        <is>
          <t>Kapasitas 15 baris. Satu baris per karyawan; ID harus unik.</t>
        </is>
      </c>
    </row>
    <row r="3">
      <c r="A3" s="15" t="inlineStr">
        <is>
          <t>VERSI DEMO: kapasitas &amp; fitur dibatasi, data simulasi. Versi lengkap: WhatsApp 089623291732</t>
        </is>
      </c>
    </row>
    <row r="5" ht="44" customHeight="1">
      <c r="A5" s="27" t="inlineStr">
        <is>
          <t>ID</t>
        </is>
      </c>
      <c r="B5" s="27" t="inlineStr">
        <is>
          <t>Nama</t>
        </is>
      </c>
      <c r="C5" s="27" t="inlineStr">
        <is>
          <t>Gender (L/P)</t>
        </is>
      </c>
      <c r="D5" s="27" t="inlineStr">
        <is>
          <t>Tgl Lahir</t>
        </is>
      </c>
      <c r="E5" s="27" t="inlineStr">
        <is>
          <t>Departemen</t>
        </is>
      </c>
      <c r="F5" s="27" t="inlineStr">
        <is>
          <t>Jabatan</t>
        </is>
      </c>
      <c r="G5" s="27" t="inlineStr">
        <is>
          <t>Grade</t>
        </is>
      </c>
      <c r="H5" s="27" t="inlineStr">
        <is>
          <t>Status Kerja</t>
        </is>
      </c>
      <c r="I5" s="27" t="inlineStr">
        <is>
          <t>Tgl Masuk</t>
        </is>
      </c>
      <c r="J5" s="27" t="inlineStr">
        <is>
          <t>Status PTKP</t>
        </is>
      </c>
      <c r="K5" s="27" t="inlineStr">
        <is>
          <t>Gaji Pokok (Rp)</t>
        </is>
      </c>
      <c r="L5" s="27" t="inlineStr">
        <is>
          <t>Tunjangan Tetap (Rp)</t>
        </is>
      </c>
      <c r="M5" s="27" t="inlineStr">
        <is>
          <t>Atasan</t>
        </is>
      </c>
      <c r="N5" s="27" t="inlineStr">
        <is>
          <t>Lokasi</t>
        </is>
      </c>
      <c r="O5" s="27" t="inlineStr">
        <is>
          <t>Tgl Keluar</t>
        </is>
      </c>
      <c r="P5" s="27">
        <f>PARAMETER!C17</f>
        <v/>
      </c>
      <c r="Q5" s="27">
        <f>PARAMETER!C18</f>
        <v/>
      </c>
      <c r="R5" s="27" t="inlineStr">
        <is>
          <t>Usia (thn)</t>
        </is>
      </c>
      <c r="S5" s="27" t="inlineStr">
        <is>
          <t>Masa Kerja (thn)</t>
        </is>
      </c>
      <c r="T5" s="27" t="inlineStr">
        <is>
          <t>Kategori TER</t>
        </is>
      </c>
      <c r="U5" s="27" t="inlineStr">
        <is>
          <t>Aktif (1/0)</t>
        </is>
      </c>
      <c r="V5" s="27" t="inlineStr">
        <is>
          <t>Posisi vs Band Gaji</t>
        </is>
      </c>
    </row>
    <row r="6">
      <c r="A6" s="33" t="inlineStr">
        <is>
          <t>K-001</t>
        </is>
      </c>
      <c r="B6" s="33" t="inlineStr">
        <is>
          <t>Dian Pratama</t>
        </is>
      </c>
      <c r="C6" s="36" t="inlineStr">
        <is>
          <t>P</t>
        </is>
      </c>
      <c r="D6" s="37" t="n">
        <v>33464</v>
      </c>
      <c r="E6" s="33" t="inlineStr">
        <is>
          <t>Teknologi</t>
        </is>
      </c>
      <c r="F6" s="33" t="inlineStr">
        <is>
          <t>Direktur</t>
        </is>
      </c>
      <c r="G6" s="36" t="inlineStr">
        <is>
          <t>G6</t>
        </is>
      </c>
      <c r="H6" s="33" t="inlineStr">
        <is>
          <t>Tetap</t>
        </is>
      </c>
      <c r="I6" s="37" t="n">
        <v>44440</v>
      </c>
      <c r="J6" s="36" t="inlineStr">
        <is>
          <t>TK/1</t>
        </is>
      </c>
      <c r="K6" s="38" t="n">
        <v>49500000</v>
      </c>
      <c r="L6" s="38" t="n">
        <v>5100000</v>
      </c>
      <c r="M6" s="33" t="inlineStr">
        <is>
          <t>-</t>
        </is>
      </c>
      <c r="N6" s="33" t="inlineStr">
        <is>
          <t>Bandung</t>
        </is>
      </c>
      <c r="O6" s="37" t="n"/>
      <c r="P6" s="37" t="n"/>
      <c r="Q6" s="33" t="n"/>
      <c r="R6" s="39">
        <f>IF(OR($A6="",D6=""),"",INT((PARAMETER!$C$13-D6)/365.25))</f>
        <v/>
      </c>
      <c r="S6" s="40">
        <f>IF(OR($A6="",I6=""),"",ROUND((IF(O6="",PARAMETER!$C$13,MIN(O6,PARAMETER!$C$13))-I6)/365.25,1))</f>
        <v/>
      </c>
      <c r="T6" s="41">
        <f>IF($A6="","",IFERROR(INDEX(PARAMETER!$D$31:$D$38,MATCH(J6,PARAMETER!$B$31:$B$38,0)),"?"))</f>
        <v/>
      </c>
      <c r="U6" s="39">
        <f>IF($A6="","",IF(H6="Resign",0,1))</f>
        <v/>
      </c>
    </row>
    <row r="7">
      <c r="A7" s="33" t="inlineStr">
        <is>
          <t>K-002</t>
        </is>
      </c>
      <c r="B7" s="33" t="inlineStr">
        <is>
          <t>Nadia Utami</t>
        </is>
      </c>
      <c r="C7" s="36" t="inlineStr">
        <is>
          <t>P</t>
        </is>
      </c>
      <c r="D7" s="37" t="n">
        <v>35009</v>
      </c>
      <c r="E7" s="33" t="inlineStr">
        <is>
          <t>SDM</t>
        </is>
      </c>
      <c r="F7" s="33" t="inlineStr">
        <is>
          <t>Senior Staf</t>
        </is>
      </c>
      <c r="G7" s="36" t="inlineStr">
        <is>
          <t>G3</t>
        </is>
      </c>
      <c r="H7" s="33" t="inlineStr">
        <is>
          <t>Tetap</t>
        </is>
      </c>
      <c r="I7" s="37" t="n">
        <v>42809</v>
      </c>
      <c r="J7" s="36" t="inlineStr">
        <is>
          <t>K/1</t>
        </is>
      </c>
      <c r="K7" s="38" t="n">
        <v>12250000</v>
      </c>
      <c r="L7" s="38" t="n">
        <v>1400000</v>
      </c>
      <c r="M7" s="33" t="inlineStr">
        <is>
          <t>-</t>
        </is>
      </c>
      <c r="N7" s="33" t="inlineStr">
        <is>
          <t>Bandung</t>
        </is>
      </c>
      <c r="O7" s="37" t="n"/>
      <c r="P7" s="37" t="n"/>
      <c r="Q7" s="33" t="n"/>
      <c r="R7" s="39">
        <f>IF(OR($A7="",D7=""),"",INT((PARAMETER!$C$13-D7)/365.25))</f>
        <v/>
      </c>
      <c r="S7" s="40">
        <f>IF(OR($A7="",I7=""),"",ROUND((IF(O7="",PARAMETER!$C$13,MIN(O7,PARAMETER!$C$13))-I7)/365.25,1))</f>
        <v/>
      </c>
      <c r="T7" s="41">
        <f>IF($A7="","",IFERROR(INDEX(PARAMETER!$D$31:$D$38,MATCH(J7,PARAMETER!$B$31:$B$38,0)),"?"))</f>
        <v/>
      </c>
      <c r="U7" s="39">
        <f>IF($A7="","",IF(H7="Resign",0,1))</f>
        <v/>
      </c>
    </row>
    <row r="8">
      <c r="A8" s="33" t="inlineStr">
        <is>
          <t>K-003</t>
        </is>
      </c>
      <c r="B8" s="33" t="inlineStr">
        <is>
          <t>Farah Kusuma</t>
        </is>
      </c>
      <c r="C8" s="36" t="inlineStr">
        <is>
          <t>P</t>
        </is>
      </c>
      <c r="D8" s="37" t="n">
        <v>34893</v>
      </c>
      <c r="E8" s="33" t="inlineStr">
        <is>
          <t>Teknologi</t>
        </is>
      </c>
      <c r="F8" s="33" t="inlineStr">
        <is>
          <t>Manajer</t>
        </is>
      </c>
      <c r="G8" s="36" t="inlineStr">
        <is>
          <t>G4</t>
        </is>
      </c>
      <c r="H8" s="33" t="inlineStr">
        <is>
          <t>Tetap</t>
        </is>
      </c>
      <c r="I8" s="37" t="n">
        <v>45533</v>
      </c>
      <c r="J8" s="36" t="inlineStr">
        <is>
          <t>TK/0</t>
        </is>
      </c>
      <c r="K8" s="38" t="n">
        <v>20350000</v>
      </c>
      <c r="L8" s="38" t="n">
        <v>3400000</v>
      </c>
      <c r="M8" s="33" t="inlineStr">
        <is>
          <t>Dian Pratama</t>
        </is>
      </c>
      <c r="N8" s="33" t="inlineStr">
        <is>
          <t>Bandung</t>
        </is>
      </c>
      <c r="O8" s="37" t="n"/>
      <c r="P8" s="37" t="n"/>
      <c r="Q8" s="33" t="n"/>
      <c r="R8" s="39">
        <f>IF(OR($A8="",D8=""),"",INT((PARAMETER!$C$13-D8)/365.25))</f>
        <v/>
      </c>
      <c r="S8" s="40">
        <f>IF(OR($A8="",I8=""),"",ROUND((IF(O8="",PARAMETER!$C$13,MIN(O8,PARAMETER!$C$13))-I8)/365.25,1))</f>
        <v/>
      </c>
      <c r="T8" s="41">
        <f>IF($A8="","",IFERROR(INDEX(PARAMETER!$D$31:$D$38,MATCH(J8,PARAMETER!$B$31:$B$38,0)),"?"))</f>
        <v/>
      </c>
      <c r="U8" s="39">
        <f>IF($A8="","",IF(H8="Resign",0,1))</f>
        <v/>
      </c>
    </row>
    <row r="9">
      <c r="A9" s="33" t="inlineStr">
        <is>
          <t>K-004</t>
        </is>
      </c>
      <c r="B9" s="33" t="inlineStr">
        <is>
          <t>Dimas Nugroho</t>
        </is>
      </c>
      <c r="C9" s="36" t="inlineStr">
        <is>
          <t>L</t>
        </is>
      </c>
      <c r="D9" s="37" t="n">
        <v>34388</v>
      </c>
      <c r="E9" s="33" t="inlineStr">
        <is>
          <t>SDM</t>
        </is>
      </c>
      <c r="F9" s="33" t="inlineStr">
        <is>
          <t>Staf Junior</t>
        </is>
      </c>
      <c r="G9" s="36" t="inlineStr">
        <is>
          <t>G1</t>
        </is>
      </c>
      <c r="H9" s="33" t="inlineStr">
        <is>
          <t>Kontrak</t>
        </is>
      </c>
      <c r="I9" s="37" t="n">
        <v>42976</v>
      </c>
      <c r="J9" s="36" t="inlineStr">
        <is>
          <t>K/2</t>
        </is>
      </c>
      <c r="K9" s="38" t="n">
        <v>5550000</v>
      </c>
      <c r="L9" s="38" t="n">
        <v>950000</v>
      </c>
      <c r="M9" s="33" t="inlineStr">
        <is>
          <t>Nadia Utami</t>
        </is>
      </c>
      <c r="N9" s="33" t="inlineStr">
        <is>
          <t>Jakarta</t>
        </is>
      </c>
      <c r="O9" s="37" t="n"/>
      <c r="P9" s="37" t="n">
        <v>46593</v>
      </c>
      <c r="Q9" s="33" t="n"/>
      <c r="R9" s="39">
        <f>IF(OR($A9="",D9=""),"",INT((PARAMETER!$C$13-D9)/365.25))</f>
        <v/>
      </c>
      <c r="S9" s="40">
        <f>IF(OR($A9="",I9=""),"",ROUND((IF(O9="",PARAMETER!$C$13,MIN(O9,PARAMETER!$C$13))-I9)/365.25,1))</f>
        <v/>
      </c>
      <c r="T9" s="41">
        <f>IF($A9="","",IFERROR(INDEX(PARAMETER!$D$31:$D$38,MATCH(J9,PARAMETER!$B$31:$B$38,0)),"?"))</f>
        <v/>
      </c>
      <c r="U9" s="39">
        <f>IF($A9="","",IF(H9="Resign",0,1))</f>
        <v/>
      </c>
    </row>
    <row r="10">
      <c r="A10" s="33" t="inlineStr">
        <is>
          <t>K-005</t>
        </is>
      </c>
      <c r="B10" s="33" t="inlineStr">
        <is>
          <t>Dimas Pratama</t>
        </is>
      </c>
      <c r="C10" s="36" t="inlineStr">
        <is>
          <t>L</t>
        </is>
      </c>
      <c r="D10" s="37" t="n">
        <v>37706</v>
      </c>
      <c r="E10" s="33" t="inlineStr">
        <is>
          <t>Teknologi</t>
        </is>
      </c>
      <c r="F10" s="33" t="inlineStr">
        <is>
          <t>Staf</t>
        </is>
      </c>
      <c r="G10" s="36" t="inlineStr">
        <is>
          <t>G2</t>
        </is>
      </c>
      <c r="H10" s="33" t="inlineStr">
        <is>
          <t>Tetap</t>
        </is>
      </c>
      <c r="I10" s="37" t="n">
        <v>45737</v>
      </c>
      <c r="J10" s="36" t="inlineStr">
        <is>
          <t>K/1</t>
        </is>
      </c>
      <c r="K10" s="38" t="n">
        <v>7100000</v>
      </c>
      <c r="L10" s="38" t="n">
        <v>650000</v>
      </c>
      <c r="M10" s="33" t="inlineStr">
        <is>
          <t>Dian Pratama</t>
        </is>
      </c>
      <c r="N10" s="33" t="inlineStr">
        <is>
          <t>Jakarta</t>
        </is>
      </c>
      <c r="O10" s="37" t="n"/>
      <c r="P10" s="37" t="n"/>
      <c r="Q10" s="33" t="n"/>
      <c r="R10" s="39">
        <f>IF(OR($A10="",D10=""),"",INT((PARAMETER!$C$13-D10)/365.25))</f>
        <v/>
      </c>
      <c r="S10" s="40">
        <f>IF(OR($A10="",I10=""),"",ROUND((IF(O10="",PARAMETER!$C$13,MIN(O10,PARAMETER!$C$13))-I10)/365.25,1))</f>
        <v/>
      </c>
      <c r="T10" s="41">
        <f>IF($A10="","",IFERROR(INDEX(PARAMETER!$D$31:$D$38,MATCH(J10,PARAMETER!$B$31:$B$38,0)),"?"))</f>
        <v/>
      </c>
      <c r="U10" s="39">
        <f>IF($A10="","",IF(H10="Resign",0,1))</f>
        <v/>
      </c>
    </row>
    <row r="11">
      <c r="A11" s="33" t="inlineStr">
        <is>
          <t>K-006</t>
        </is>
      </c>
      <c r="B11" s="33" t="inlineStr">
        <is>
          <t>Nadia Pratama</t>
        </is>
      </c>
      <c r="C11" s="36" t="inlineStr">
        <is>
          <t>P</t>
        </is>
      </c>
      <c r="D11" s="37" t="n">
        <v>34958</v>
      </c>
      <c r="E11" s="33" t="inlineStr">
        <is>
          <t>SDM</t>
        </is>
      </c>
      <c r="F11" s="33" t="inlineStr">
        <is>
          <t>Staf</t>
        </is>
      </c>
      <c r="G11" s="36" t="inlineStr">
        <is>
          <t>G2</t>
        </is>
      </c>
      <c r="H11" s="33" t="inlineStr">
        <is>
          <t>Tetap</t>
        </is>
      </c>
      <c r="I11" s="37" t="n">
        <v>45357</v>
      </c>
      <c r="J11" s="36" t="inlineStr">
        <is>
          <t>K/0</t>
        </is>
      </c>
      <c r="K11" s="38" t="n">
        <v>7150000</v>
      </c>
      <c r="L11" s="38" t="n">
        <v>1050000</v>
      </c>
      <c r="M11" s="33" t="inlineStr">
        <is>
          <t>Nadia Utami</t>
        </is>
      </c>
      <c r="N11" s="33" t="inlineStr">
        <is>
          <t>Jakarta</t>
        </is>
      </c>
      <c r="O11" s="37" t="n"/>
      <c r="P11" s="37" t="n"/>
      <c r="Q11" s="33" t="n"/>
      <c r="R11" s="39">
        <f>IF(OR($A11="",D11=""),"",INT((PARAMETER!$C$13-D11)/365.25))</f>
        <v/>
      </c>
      <c r="S11" s="40">
        <f>IF(OR($A11="",I11=""),"",ROUND((IF(O11="",PARAMETER!$C$13,MIN(O11,PARAMETER!$C$13))-I11)/365.25,1))</f>
        <v/>
      </c>
      <c r="T11" s="41">
        <f>IF($A11="","",IFERROR(INDEX(PARAMETER!$D$31:$D$38,MATCH(J11,PARAMETER!$B$31:$B$38,0)),"?"))</f>
        <v/>
      </c>
      <c r="U11" s="39">
        <f>IF($A11="","",IF(H11="Resign",0,1))</f>
        <v/>
      </c>
    </row>
    <row r="12">
      <c r="A12" s="33" t="inlineStr">
        <is>
          <t>K-007</t>
        </is>
      </c>
      <c r="B12" s="33" t="inlineStr">
        <is>
          <t>Wahyu Hidayat</t>
        </is>
      </c>
      <c r="C12" s="36" t="inlineStr">
        <is>
          <t>L</t>
        </is>
      </c>
      <c r="D12" s="37" t="n">
        <v>36960</v>
      </c>
      <c r="E12" s="33" t="inlineStr">
        <is>
          <t>SDM</t>
        </is>
      </c>
      <c r="F12" s="33" t="inlineStr">
        <is>
          <t>Senior Staf</t>
        </is>
      </c>
      <c r="G12" s="36" t="inlineStr">
        <is>
          <t>G3</t>
        </is>
      </c>
      <c r="H12" s="33" t="inlineStr">
        <is>
          <t>Tetap</t>
        </is>
      </c>
      <c r="I12" s="37" t="n">
        <v>45926</v>
      </c>
      <c r="J12" s="36" t="inlineStr">
        <is>
          <t>K/1</t>
        </is>
      </c>
      <c r="K12" s="38" t="n">
        <v>10700000</v>
      </c>
      <c r="L12" s="38" t="n">
        <v>1400000</v>
      </c>
      <c r="M12" s="33" t="inlineStr">
        <is>
          <t>-</t>
        </is>
      </c>
      <c r="N12" s="33" t="inlineStr">
        <is>
          <t>Bandung</t>
        </is>
      </c>
      <c r="O12" s="37" t="n"/>
      <c r="P12" s="37" t="n"/>
      <c r="Q12" s="33" t="n"/>
      <c r="R12" s="39">
        <f>IF(OR($A12="",D12=""),"",INT((PARAMETER!$C$13-D12)/365.25))</f>
        <v/>
      </c>
      <c r="S12" s="40">
        <f>IF(OR($A12="",I12=""),"",ROUND((IF(O12="",PARAMETER!$C$13,MIN(O12,PARAMETER!$C$13))-I12)/365.25,1))</f>
        <v/>
      </c>
      <c r="T12" s="41">
        <f>IF($A12="","",IFERROR(INDEX(PARAMETER!$D$31:$D$38,MATCH(J12,PARAMETER!$B$31:$B$38,0)),"?"))</f>
        <v/>
      </c>
      <c r="U12" s="39">
        <f>IF($A12="","",IF(H12="Resign",0,1))</f>
        <v/>
      </c>
    </row>
    <row r="13">
      <c r="A13" s="33" t="inlineStr">
        <is>
          <t>K-008</t>
        </is>
      </c>
      <c r="B13" s="33" t="inlineStr">
        <is>
          <t>Fajar Firmansyah</t>
        </is>
      </c>
      <c r="C13" s="36" t="inlineStr">
        <is>
          <t>L</t>
        </is>
      </c>
      <c r="D13" s="37" t="n">
        <v>36169</v>
      </c>
      <c r="E13" s="33" t="inlineStr">
        <is>
          <t>Teknologi</t>
        </is>
      </c>
      <c r="F13" s="33" t="inlineStr">
        <is>
          <t>Senior Manajer</t>
        </is>
      </c>
      <c r="G13" s="36" t="inlineStr">
        <is>
          <t>G5</t>
        </is>
      </c>
      <c r="H13" s="33" t="inlineStr">
        <is>
          <t>Resign</t>
        </is>
      </c>
      <c r="I13" s="37" t="n">
        <v>45691</v>
      </c>
      <c r="J13" s="36" t="inlineStr">
        <is>
          <t>TK/0</t>
        </is>
      </c>
      <c r="K13" s="38" t="n">
        <v>27750000</v>
      </c>
      <c r="L13" s="38" t="n">
        <v>4200000</v>
      </c>
      <c r="M13" s="33" t="inlineStr">
        <is>
          <t>Dian Pratama</t>
        </is>
      </c>
      <c r="N13" s="33" t="inlineStr">
        <is>
          <t>Bandung</t>
        </is>
      </c>
      <c r="O13" s="37" t="n">
        <v>46211</v>
      </c>
      <c r="P13" s="37" t="n"/>
      <c r="Q13" s="33" t="n"/>
      <c r="R13" s="39">
        <f>IF(OR($A13="",D13=""),"",INT((PARAMETER!$C$13-D13)/365.25))</f>
        <v/>
      </c>
      <c r="S13" s="40">
        <f>IF(OR($A13="",I13=""),"",ROUND((IF(O13="",PARAMETER!$C$13,MIN(O13,PARAMETER!$C$13))-I13)/365.25,1))</f>
        <v/>
      </c>
      <c r="T13" s="41">
        <f>IF($A13="","",IFERROR(INDEX(PARAMETER!$D$31:$D$38,MATCH(J13,PARAMETER!$B$31:$B$38,0)),"?"))</f>
        <v/>
      </c>
      <c r="U13" s="39">
        <f>IF($A13="","",IF(H13="Resign",0,1))</f>
        <v/>
      </c>
    </row>
    <row r="14">
      <c r="A14" s="33" t="inlineStr">
        <is>
          <t>K-009</t>
        </is>
      </c>
      <c r="B14" s="33" t="inlineStr">
        <is>
          <t>Vero Lestari</t>
        </is>
      </c>
      <c r="C14" s="36" t="inlineStr">
        <is>
          <t>P</t>
        </is>
      </c>
      <c r="D14" s="37" t="n">
        <v>30535</v>
      </c>
      <c r="E14" s="33" t="inlineStr">
        <is>
          <t>Teknologi</t>
        </is>
      </c>
      <c r="F14" s="33" t="inlineStr">
        <is>
          <t>Senior Staf</t>
        </is>
      </c>
      <c r="G14" s="36" t="inlineStr">
        <is>
          <t>G3</t>
        </is>
      </c>
      <c r="H14" s="33" t="inlineStr">
        <is>
          <t>Tetap</t>
        </is>
      </c>
      <c r="I14" s="37" t="n">
        <v>42337</v>
      </c>
      <c r="J14" s="36" t="inlineStr">
        <is>
          <t>TK/2</t>
        </is>
      </c>
      <c r="K14" s="38" t="n">
        <v>10100000</v>
      </c>
      <c r="L14" s="38" t="n">
        <v>850000</v>
      </c>
      <c r="M14" s="33" t="inlineStr">
        <is>
          <t>Dian Pratama</t>
        </is>
      </c>
      <c r="N14" s="33" t="inlineStr">
        <is>
          <t>Bandung</t>
        </is>
      </c>
      <c r="O14" s="37" t="n"/>
      <c r="P14" s="37" t="n"/>
      <c r="Q14" s="33" t="n"/>
      <c r="R14" s="39">
        <f>IF(OR($A14="",D14=""),"",INT((PARAMETER!$C$13-D14)/365.25))</f>
        <v/>
      </c>
      <c r="S14" s="40">
        <f>IF(OR($A14="",I14=""),"",ROUND((IF(O14="",PARAMETER!$C$13,MIN(O14,PARAMETER!$C$13))-I14)/365.25,1))</f>
        <v/>
      </c>
      <c r="T14" s="41">
        <f>IF($A14="","",IFERROR(INDEX(PARAMETER!$D$31:$D$38,MATCH(J14,PARAMETER!$B$31:$B$38,0)),"?"))</f>
        <v/>
      </c>
      <c r="U14" s="39">
        <f>IF($A14="","",IF(H14="Resign",0,1))</f>
        <v/>
      </c>
    </row>
    <row r="15">
      <c r="A15" s="33" t="inlineStr">
        <is>
          <t>K-010</t>
        </is>
      </c>
      <c r="B15" s="33" t="inlineStr">
        <is>
          <t>Tegar Santoso</t>
        </is>
      </c>
      <c r="C15" s="36" t="inlineStr">
        <is>
          <t>L</t>
        </is>
      </c>
      <c r="D15" s="37" t="n">
        <v>33029</v>
      </c>
      <c r="E15" s="33" t="inlineStr">
        <is>
          <t>Operasional</t>
        </is>
      </c>
      <c r="F15" s="33" t="inlineStr">
        <is>
          <t>Staf</t>
        </is>
      </c>
      <c r="G15" s="36" t="inlineStr">
        <is>
          <t>G2</t>
        </is>
      </c>
      <c r="H15" s="33" t="inlineStr">
        <is>
          <t>Tetap</t>
        </is>
      </c>
      <c r="I15" s="37" t="n">
        <v>45006</v>
      </c>
      <c r="J15" s="36" t="inlineStr">
        <is>
          <t>TK/2</t>
        </is>
      </c>
      <c r="K15" s="38" t="n">
        <v>9250000</v>
      </c>
      <c r="L15" s="38" t="n">
        <v>1600000</v>
      </c>
      <c r="M15" s="33" t="inlineStr">
        <is>
          <t>-</t>
        </is>
      </c>
      <c r="N15" s="33" t="inlineStr">
        <is>
          <t>Jakarta</t>
        </is>
      </c>
      <c r="O15" s="37" t="n"/>
      <c r="P15" s="37" t="n"/>
      <c r="Q15" s="33" t="n"/>
      <c r="R15" s="39">
        <f>IF(OR($A15="",D15=""),"",INT((PARAMETER!$C$13-D15)/365.25))</f>
        <v/>
      </c>
      <c r="S15" s="40">
        <f>IF(OR($A15="",I15=""),"",ROUND((IF(O15="",PARAMETER!$C$13,MIN(O15,PARAMETER!$C$13))-I15)/365.25,1))</f>
        <v/>
      </c>
      <c r="T15" s="41">
        <f>IF($A15="","",IFERROR(INDEX(PARAMETER!$D$31:$D$38,MATCH(J15,PARAMETER!$B$31:$B$38,0)),"?"))</f>
        <v/>
      </c>
      <c r="U15" s="39">
        <f>IF($A15="","",IF(H15="Resign",0,1))</f>
        <v/>
      </c>
    </row>
    <row r="16">
      <c r="A16" s="33" t="inlineStr">
        <is>
          <t>K-011</t>
        </is>
      </c>
      <c r="B16" s="33" t="inlineStr">
        <is>
          <t>Tegar Pratama</t>
        </is>
      </c>
      <c r="C16" s="36" t="inlineStr">
        <is>
          <t>L</t>
        </is>
      </c>
      <c r="D16" s="37" t="n">
        <v>35062</v>
      </c>
      <c r="E16" s="33" t="inlineStr">
        <is>
          <t>Keuangan</t>
        </is>
      </c>
      <c r="F16" s="33" t="inlineStr">
        <is>
          <t>Staf</t>
        </is>
      </c>
      <c r="G16" s="36" t="inlineStr">
        <is>
          <t>G2</t>
        </is>
      </c>
      <c r="H16" s="33" t="inlineStr">
        <is>
          <t>Tetap</t>
        </is>
      </c>
      <c r="I16" s="37" t="n">
        <v>44002</v>
      </c>
      <c r="J16" s="36" t="inlineStr">
        <is>
          <t>TK/0</t>
        </is>
      </c>
      <c r="K16" s="38" t="n">
        <v>8050000</v>
      </c>
      <c r="L16" s="38" t="n">
        <v>800000</v>
      </c>
      <c r="M16" s="33" t="inlineStr">
        <is>
          <t>-</t>
        </is>
      </c>
      <c r="N16" s="33" t="inlineStr">
        <is>
          <t>Bandung</t>
        </is>
      </c>
      <c r="O16" s="37" t="n"/>
      <c r="P16" s="37" t="n"/>
      <c r="Q16" s="33" t="n"/>
      <c r="R16" s="39">
        <f>IF(OR($A16="",D16=""),"",INT((PARAMETER!$C$13-D16)/365.25))</f>
        <v/>
      </c>
      <c r="S16" s="40">
        <f>IF(OR($A16="",I16=""),"",ROUND((IF(O16="",PARAMETER!$C$13,MIN(O16,PARAMETER!$C$13))-I16)/365.25,1))</f>
        <v/>
      </c>
      <c r="T16" s="41">
        <f>IF($A16="","",IFERROR(INDEX(PARAMETER!$D$31:$D$38,MATCH(J16,PARAMETER!$B$31:$B$38,0)),"?"))</f>
        <v/>
      </c>
      <c r="U16" s="39">
        <f>IF($A16="","",IF(H16="Resign",0,1))</f>
        <v/>
      </c>
    </row>
    <row r="17">
      <c r="A17" s="33" t="inlineStr">
        <is>
          <t>K-012</t>
        </is>
      </c>
      <c r="B17" s="33" t="inlineStr">
        <is>
          <t>Eko Maulana</t>
        </is>
      </c>
      <c r="C17" s="36" t="inlineStr">
        <is>
          <t>L</t>
        </is>
      </c>
      <c r="D17" s="37" t="n">
        <v>33281</v>
      </c>
      <c r="E17" s="33" t="inlineStr">
        <is>
          <t>Teknologi</t>
        </is>
      </c>
      <c r="F17" s="33" t="inlineStr">
        <is>
          <t>Senior Staf</t>
        </is>
      </c>
      <c r="G17" s="36" t="inlineStr">
        <is>
          <t>G3</t>
        </is>
      </c>
      <c r="H17" s="33" t="inlineStr">
        <is>
          <t>Tetap</t>
        </is>
      </c>
      <c r="I17" s="37" t="n">
        <v>43884</v>
      </c>
      <c r="J17" s="36" t="inlineStr">
        <is>
          <t>K/0</t>
        </is>
      </c>
      <c r="K17" s="38" t="n">
        <v>10200000</v>
      </c>
      <c r="L17" s="38" t="n">
        <v>900000</v>
      </c>
      <c r="M17" s="33" t="inlineStr">
        <is>
          <t>Dian Pratama</t>
        </is>
      </c>
      <c r="N17" s="33" t="inlineStr">
        <is>
          <t>Jakarta</t>
        </is>
      </c>
      <c r="O17" s="37" t="n"/>
      <c r="P17" s="37" t="n"/>
      <c r="Q17" s="33" t="n"/>
      <c r="R17" s="39">
        <f>IF(OR($A17="",D17=""),"",INT((PARAMETER!$C$13-D17)/365.25))</f>
        <v/>
      </c>
      <c r="S17" s="40">
        <f>IF(OR($A17="",I17=""),"",ROUND((IF(O17="",PARAMETER!$C$13,MIN(O17,PARAMETER!$C$13))-I17)/365.25,1))</f>
        <v/>
      </c>
      <c r="T17" s="41">
        <f>IF($A17="","",IFERROR(INDEX(PARAMETER!$D$31:$D$38,MATCH(J17,PARAMETER!$B$31:$B$38,0)),"?"))</f>
        <v/>
      </c>
      <c r="U17" s="39">
        <f>IF($A17="","",IF(H17="Resign",0,1))</f>
        <v/>
      </c>
    </row>
    <row r="18">
      <c r="A18" s="33" t="n"/>
      <c r="B18" s="33" t="n"/>
      <c r="C18" s="36" t="n"/>
      <c r="D18" s="37" t="n"/>
      <c r="E18" s="33" t="n"/>
      <c r="F18" s="33" t="n"/>
      <c r="G18" s="36" t="n"/>
      <c r="H18" s="33" t="n"/>
      <c r="I18" s="37" t="n"/>
      <c r="J18" s="36" t="n"/>
      <c r="K18" s="38" t="n"/>
      <c r="L18" s="38" t="n"/>
      <c r="M18" s="33" t="n"/>
      <c r="N18" s="33" t="n"/>
      <c r="O18" s="37" t="n"/>
      <c r="P18" s="37" t="n"/>
      <c r="Q18" s="33" t="n"/>
      <c r="R18" s="39">
        <f>IF(OR($A18="",D18=""),"",INT((PARAMETER!$C$13-D18)/365.25))</f>
        <v/>
      </c>
      <c r="S18" s="40">
        <f>IF(OR($A18="",I18=""),"",ROUND((IF(O18="",PARAMETER!$C$13,MIN(O18,PARAMETER!$C$13))-I18)/365.25,1))</f>
        <v/>
      </c>
      <c r="T18" s="41">
        <f>IF($A18="","",IFERROR(INDEX(PARAMETER!$D$31:$D$38,MATCH(J18,PARAMETER!$B$31:$B$38,0)),"?"))</f>
        <v/>
      </c>
      <c r="U18" s="39">
        <f>IF($A18="","",IF(H18="Resign",0,1))</f>
        <v/>
      </c>
    </row>
    <row r="19">
      <c r="A19" s="33" t="n"/>
      <c r="B19" s="33" t="n"/>
      <c r="C19" s="36" t="n"/>
      <c r="D19" s="37" t="n"/>
      <c r="E19" s="33" t="n"/>
      <c r="F19" s="33" t="n"/>
      <c r="G19" s="36" t="n"/>
      <c r="H19" s="33" t="n"/>
      <c r="I19" s="37" t="n"/>
      <c r="J19" s="36" t="n"/>
      <c r="K19" s="38" t="n"/>
      <c r="L19" s="38" t="n"/>
      <c r="M19" s="33" t="n"/>
      <c r="N19" s="33" t="n"/>
      <c r="O19" s="37" t="n"/>
      <c r="P19" s="37" t="n"/>
      <c r="Q19" s="33" t="n"/>
      <c r="R19" s="39">
        <f>IF(OR($A19="",D19=""),"",INT((PARAMETER!$C$13-D19)/365.25))</f>
        <v/>
      </c>
      <c r="S19" s="40">
        <f>IF(OR($A19="",I19=""),"",ROUND((IF(O19="",PARAMETER!$C$13,MIN(O19,PARAMETER!$C$13))-I19)/365.25,1))</f>
        <v/>
      </c>
      <c r="T19" s="41">
        <f>IF($A19="","",IFERROR(INDEX(PARAMETER!$D$31:$D$38,MATCH(J19,PARAMETER!$B$31:$B$38,0)),"?"))</f>
        <v/>
      </c>
      <c r="U19" s="39">
        <f>IF($A19="","",IF(H19="Resign",0,1))</f>
        <v/>
      </c>
    </row>
    <row r="20">
      <c r="A20" s="33" t="n"/>
      <c r="B20" s="33" t="n"/>
      <c r="C20" s="36" t="n"/>
      <c r="D20" s="37" t="n"/>
      <c r="E20" s="33" t="n"/>
      <c r="F20" s="33" t="n"/>
      <c r="G20" s="36" t="n"/>
      <c r="H20" s="33" t="n"/>
      <c r="I20" s="37" t="n"/>
      <c r="J20" s="36" t="n"/>
      <c r="K20" s="38" t="n"/>
      <c r="L20" s="38" t="n"/>
      <c r="M20" s="33" t="n"/>
      <c r="N20" s="33" t="n"/>
      <c r="O20" s="37" t="n"/>
      <c r="P20" s="37" t="n"/>
      <c r="Q20" s="33" t="n"/>
      <c r="R20" s="39">
        <f>IF(OR($A20="",D20=""),"",INT((PARAMETER!$C$13-D20)/365.25))</f>
        <v/>
      </c>
      <c r="S20" s="40">
        <f>IF(OR($A20="",I20=""),"",ROUND((IF(O20="",PARAMETER!$C$13,MIN(O20,PARAMETER!$C$13))-I20)/365.25,1))</f>
        <v/>
      </c>
      <c r="T20" s="41">
        <f>IF($A20="","",IFERROR(INDEX(PARAMETER!$D$31:$D$38,MATCH(J20,PARAMETER!$B$31:$B$38,0)),"?"))</f>
        <v/>
      </c>
      <c r="U20" s="39">
        <f>IF($A20="","",IF(H20="Resign",0,1))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5:V20"/>
  <mergeCells count="1">
    <mergeCell ref="A3:V3"/>
  </mergeCells>
  <conditionalFormatting sqref="H6:H20">
    <cfRule type="cellIs" priority="1" operator="equal" dxfId="0">
      <formula>"Resign"</formula>
    </cfRule>
  </conditionalFormatting>
  <conditionalFormatting sqref="P6:P20">
    <cfRule type="expression" priority="2" dxfId="1">
      <formula>AND(ISNUMBER($P6),$P6&lt;=PARAMETER!$C$13+60)</formula>
    </cfRule>
  </conditionalFormatting>
  <dataValidations count="6">
    <dataValidation sqref="E6:E20" showDropDown="0" showInputMessage="0" showErrorMessage="0" allowBlank="1" type="list">
      <formula1>=PARAMETER!$B$42:$B$49</formula1>
    </dataValidation>
    <dataValidation sqref="H6:H20" showDropDown="0" showInputMessage="0" showErrorMessage="0" allowBlank="1" type="list">
      <formula1>=PARAMETER!$C$42:$C$49</formula1>
    </dataValidation>
    <dataValidation sqref="N6:N20" showDropDown="0" showInputMessage="0" showErrorMessage="0" allowBlank="1" type="list">
      <formula1>=PARAMETER!$D$42:$D$49</formula1>
    </dataValidation>
    <dataValidation sqref="C6:C20" showDropDown="0" showInputMessage="0" showErrorMessage="0" allowBlank="1" type="list">
      <formula1>"L,P"</formula1>
    </dataValidation>
    <dataValidation sqref="J6:J20" showDropDown="0" showInputMessage="0" showErrorMessage="0" allowBlank="1" type="list">
      <formula1>=PARAMETER!$B$31:$B$38</formula1>
    </dataValidation>
    <dataValidation sqref="G6:G20" showDropDown="0" showInputMessage="0" showErrorMessage="0" allowBlank="1" type="list">
      <formula1>=PARAMETER!$B$54:$B$61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5" customWidth="1" min="10" max="10"/>
    <col width="15" customWidth="1" min="11" max="11"/>
    <col width="24" customWidth="1" min="12" max="12"/>
    <col width="11" customWidth="1" min="13" max="13"/>
  </cols>
  <sheetData>
    <row r="1" ht="24" customHeight="1">
      <c r="A1" s="13" t="inlineStr">
        <is>
          <t>Absensi Bulanan</t>
        </is>
      </c>
    </row>
    <row r="2">
      <c r="A2" s="14">
        <f>"Periode "&amp;CHOOSE(PARAMETER!$C$6,"Januari","Februari","Maret","April","Mei","Juni","Juli","Agustus","September","Oktober","November","Desember")&amp;" "&amp;PARAMETER!$C$7&amp;" · hari kerja "&amp;PARAMETER!$C$8</f>
        <v/>
      </c>
    </row>
    <row r="3">
      <c r="A3" s="15" t="inlineStr">
        <is>
          <t>VERSI DEMO: kapasitas &amp; fitur dibatasi, data simulasi. Versi lengkap: WhatsApp 089623291732</t>
        </is>
      </c>
    </row>
    <row r="5" ht="40" customHeight="1">
      <c r="A5" s="27" t="inlineStr">
        <is>
          <t>ID</t>
        </is>
      </c>
      <c r="B5" s="27" t="inlineStr">
        <is>
          <t>Nama</t>
        </is>
      </c>
      <c r="C5" s="27" t="inlineStr">
        <is>
          <t>Departemen</t>
        </is>
      </c>
      <c r="D5" s="27" t="inlineStr">
        <is>
          <t>Hadir</t>
        </is>
      </c>
      <c r="E5" s="27" t="inlineStr">
        <is>
          <t>Sakit</t>
        </is>
      </c>
      <c r="F5" s="27" t="inlineStr">
        <is>
          <t>Izin</t>
        </is>
      </c>
      <c r="G5" s="27" t="inlineStr">
        <is>
          <t>Cuti</t>
        </is>
      </c>
      <c r="H5" s="27" t="inlineStr">
        <is>
          <t>Alpa</t>
        </is>
      </c>
      <c r="I5" s="27" t="inlineStr">
        <is>
          <t>Jam Lembur</t>
        </is>
      </c>
      <c r="J5" s="27" t="inlineStr">
        <is>
          <t>Bonus / Insentif (Rp)</t>
        </is>
      </c>
      <c r="K5" s="27" t="inlineStr">
        <is>
          <t>Potongan Lain (Rp)</t>
        </is>
      </c>
      <c r="L5" s="27" t="inlineStr">
        <is>
          <t>Catatan</t>
        </is>
      </c>
      <c r="M5" s="27" t="inlineStr">
        <is>
          <t>Cek Hari</t>
        </is>
      </c>
    </row>
    <row r="6">
      <c r="A6" s="42">
        <f>IF(KARYAWAN!A6="","",KARYAWAN!A6)</f>
        <v/>
      </c>
      <c r="B6" s="42">
        <f>IF(KARYAWAN!A6="","",KARYAWAN!B6)</f>
        <v/>
      </c>
      <c r="C6" s="42">
        <f>IF(KARYAWAN!A6="","",KARYAWAN!E6)</f>
        <v/>
      </c>
      <c r="D6" s="43" t="n">
        <v>19</v>
      </c>
      <c r="E6" s="43" t="n">
        <v>0</v>
      </c>
      <c r="F6" s="43" t="n">
        <v>1</v>
      </c>
      <c r="G6" s="43" t="n">
        <v>2</v>
      </c>
      <c r="H6" s="43" t="n">
        <v>0</v>
      </c>
      <c r="I6" s="43" t="n">
        <v>0</v>
      </c>
      <c r="J6" s="38" t="n">
        <v>0</v>
      </c>
      <c r="K6" s="38" t="n">
        <v>500000</v>
      </c>
      <c r="L6" s="33" t="n"/>
      <c r="M6" s="41">
        <f>IF(A6="","",IF(KARYAWAN!U6=0,"Resign",IF(SUM(D6:H6)=PARAMETER!$C$8,"OK","Cek hari")))</f>
        <v/>
      </c>
    </row>
    <row r="7">
      <c r="A7" s="42">
        <f>IF(KARYAWAN!A7="","",KARYAWAN!A7)</f>
        <v/>
      </c>
      <c r="B7" s="42">
        <f>IF(KARYAWAN!A7="","",KARYAWAN!B7)</f>
        <v/>
      </c>
      <c r="C7" s="42">
        <f>IF(KARYAWAN!A7="","",KARYAWAN!E7)</f>
        <v/>
      </c>
      <c r="D7" s="43" t="n">
        <v>22</v>
      </c>
      <c r="E7" s="43" t="n">
        <v>0</v>
      </c>
      <c r="F7" s="43" t="n">
        <v>0</v>
      </c>
      <c r="G7" s="43" t="n">
        <v>0</v>
      </c>
      <c r="H7" s="43" t="n">
        <v>0</v>
      </c>
      <c r="I7" s="43" t="n">
        <v>0</v>
      </c>
      <c r="J7" s="38" t="n">
        <v>0</v>
      </c>
      <c r="K7" s="38" t="n">
        <v>0</v>
      </c>
      <c r="L7" s="33" t="n"/>
      <c r="M7" s="41">
        <f>IF(A7="","",IF(KARYAWAN!U7=0,"Resign",IF(SUM(D7:H7)=PARAMETER!$C$8,"OK","Cek hari")))</f>
        <v/>
      </c>
    </row>
    <row r="8">
      <c r="A8" s="42">
        <f>IF(KARYAWAN!A8="","",KARYAWAN!A8)</f>
        <v/>
      </c>
      <c r="B8" s="42">
        <f>IF(KARYAWAN!A8="","",KARYAWAN!B8)</f>
        <v/>
      </c>
      <c r="C8" s="42">
        <f>IF(KARYAWAN!A8="","",KARYAWAN!E8)</f>
        <v/>
      </c>
      <c r="D8" s="43" t="n">
        <v>22</v>
      </c>
      <c r="E8" s="43" t="n">
        <v>0</v>
      </c>
      <c r="F8" s="43" t="n">
        <v>0</v>
      </c>
      <c r="G8" s="43" t="n">
        <v>0</v>
      </c>
      <c r="H8" s="43" t="n">
        <v>0</v>
      </c>
      <c r="I8" s="43" t="n">
        <v>0</v>
      </c>
      <c r="J8" s="38" t="n">
        <v>0</v>
      </c>
      <c r="K8" s="38" t="n">
        <v>0</v>
      </c>
      <c r="L8" s="33" t="n"/>
      <c r="M8" s="41">
        <f>IF(A8="","",IF(KARYAWAN!U8=0,"Resign",IF(SUM(D8:H8)=PARAMETER!$C$8,"OK","Cek hari")))</f>
        <v/>
      </c>
    </row>
    <row r="9">
      <c r="A9" s="42">
        <f>IF(KARYAWAN!A9="","",KARYAWAN!A9)</f>
        <v/>
      </c>
      <c r="B9" s="42">
        <f>IF(KARYAWAN!A9="","",KARYAWAN!B9)</f>
        <v/>
      </c>
      <c r="C9" s="42">
        <f>IF(KARYAWAN!A9="","",KARYAWAN!E9)</f>
        <v/>
      </c>
      <c r="D9" s="43" t="n">
        <v>22</v>
      </c>
      <c r="E9" s="43" t="n">
        <v>0</v>
      </c>
      <c r="F9" s="43" t="n">
        <v>0</v>
      </c>
      <c r="G9" s="43" t="n">
        <v>0</v>
      </c>
      <c r="H9" s="43" t="n">
        <v>0</v>
      </c>
      <c r="I9" s="43" t="n">
        <v>12</v>
      </c>
      <c r="J9" s="38" t="n">
        <v>0</v>
      </c>
      <c r="K9" s="38" t="n">
        <v>0</v>
      </c>
      <c r="L9" s="33" t="n"/>
      <c r="M9" s="41">
        <f>IF(A9="","",IF(KARYAWAN!U9=0,"Resign",IF(SUM(D9:H9)=PARAMETER!$C$8,"OK","Cek hari")))</f>
        <v/>
      </c>
    </row>
    <row r="10">
      <c r="A10" s="42">
        <f>IF(KARYAWAN!A10="","",KARYAWAN!A10)</f>
        <v/>
      </c>
      <c r="B10" s="42">
        <f>IF(KARYAWAN!A10="","",KARYAWAN!B10)</f>
        <v/>
      </c>
      <c r="C10" s="42">
        <f>IF(KARYAWAN!A10="","",KARYAWAN!E10)</f>
        <v/>
      </c>
      <c r="D10" s="43" t="n">
        <v>22</v>
      </c>
      <c r="E10" s="43" t="n">
        <v>0</v>
      </c>
      <c r="F10" s="43" t="n">
        <v>0</v>
      </c>
      <c r="G10" s="43" t="n">
        <v>0</v>
      </c>
      <c r="H10" s="43" t="n">
        <v>0</v>
      </c>
      <c r="I10" s="43" t="n">
        <v>0</v>
      </c>
      <c r="J10" s="38" t="n">
        <v>0</v>
      </c>
      <c r="K10" s="38" t="n">
        <v>0</v>
      </c>
      <c r="L10" s="33" t="n"/>
      <c r="M10" s="41">
        <f>IF(A10="","",IF(KARYAWAN!U10=0,"Resign",IF(SUM(D10:H10)=PARAMETER!$C$8,"OK","Cek hari")))</f>
        <v/>
      </c>
    </row>
    <row r="11">
      <c r="A11" s="42">
        <f>IF(KARYAWAN!A11="","",KARYAWAN!A11)</f>
        <v/>
      </c>
      <c r="B11" s="42">
        <f>IF(KARYAWAN!A11="","",KARYAWAN!B11)</f>
        <v/>
      </c>
      <c r="C11" s="42">
        <f>IF(KARYAWAN!A11="","",KARYAWAN!E11)</f>
        <v/>
      </c>
      <c r="D11" s="43" t="n">
        <v>18</v>
      </c>
      <c r="E11" s="43" t="n">
        <v>0</v>
      </c>
      <c r="F11" s="43" t="n">
        <v>0</v>
      </c>
      <c r="G11" s="43" t="n">
        <v>3</v>
      </c>
      <c r="H11" s="43" t="n">
        <v>1</v>
      </c>
      <c r="I11" s="43" t="n">
        <v>0</v>
      </c>
      <c r="J11" s="38" t="n">
        <v>0</v>
      </c>
      <c r="K11" s="38" t="n">
        <v>0</v>
      </c>
      <c r="L11" s="33" t="n"/>
      <c r="M11" s="41">
        <f>IF(A11="","",IF(KARYAWAN!U11=0,"Resign",IF(SUM(D11:H11)=PARAMETER!$C$8,"OK","Cek hari")))</f>
        <v/>
      </c>
    </row>
    <row r="12">
      <c r="A12" s="42">
        <f>IF(KARYAWAN!A12="","",KARYAWAN!A12)</f>
        <v/>
      </c>
      <c r="B12" s="42">
        <f>IF(KARYAWAN!A12="","",KARYAWAN!B12)</f>
        <v/>
      </c>
      <c r="C12" s="42">
        <f>IF(KARYAWAN!A12="","",KARYAWAN!E12)</f>
        <v/>
      </c>
      <c r="D12" s="43" t="n">
        <v>21</v>
      </c>
      <c r="E12" s="43" t="n">
        <v>0</v>
      </c>
      <c r="F12" s="43" t="n">
        <v>1</v>
      </c>
      <c r="G12" s="43" t="n">
        <v>0</v>
      </c>
      <c r="H12" s="43" t="n">
        <v>0</v>
      </c>
      <c r="I12" s="43" t="n">
        <v>0</v>
      </c>
      <c r="J12" s="38" t="n">
        <v>0</v>
      </c>
      <c r="K12" s="38" t="n">
        <v>0</v>
      </c>
      <c r="L12" s="33" t="n"/>
      <c r="M12" s="41">
        <f>IF(A12="","",IF(KARYAWAN!U12=0,"Resign",IF(SUM(D12:H12)=PARAMETER!$C$8,"OK","Cek hari")))</f>
        <v/>
      </c>
    </row>
    <row r="13">
      <c r="A13" s="42">
        <f>IF(KARYAWAN!A13="","",KARYAWAN!A13)</f>
        <v/>
      </c>
      <c r="B13" s="42">
        <f>IF(KARYAWAN!A13="","",KARYAWAN!B13)</f>
        <v/>
      </c>
      <c r="C13" s="42">
        <f>IF(KARYAWAN!A13="","",KARYAWAN!E13)</f>
        <v/>
      </c>
      <c r="D13" s="43" t="n">
        <v>0</v>
      </c>
      <c r="E13" s="43" t="n">
        <v>0</v>
      </c>
      <c r="F13" s="43" t="n">
        <v>0</v>
      </c>
      <c r="G13" s="43" t="n">
        <v>0</v>
      </c>
      <c r="H13" s="43" t="n">
        <v>0</v>
      </c>
      <c r="I13" s="43" t="n">
        <v>0</v>
      </c>
      <c r="J13" s="38" t="n">
        <v>0</v>
      </c>
      <c r="K13" s="38" t="n">
        <v>0</v>
      </c>
      <c r="L13" s="33" t="n"/>
      <c r="M13" s="41">
        <f>IF(A13="","",IF(KARYAWAN!U13=0,"Resign",IF(SUM(D13:H13)=PARAMETER!$C$8,"OK","Cek hari")))</f>
        <v/>
      </c>
    </row>
    <row r="14">
      <c r="A14" s="42">
        <f>IF(KARYAWAN!A14="","",KARYAWAN!A14)</f>
        <v/>
      </c>
      <c r="B14" s="42">
        <f>IF(KARYAWAN!A14="","",KARYAWAN!B14)</f>
        <v/>
      </c>
      <c r="C14" s="42">
        <f>IF(KARYAWAN!A14="","",KARYAWAN!E14)</f>
        <v/>
      </c>
      <c r="D14" s="43" t="n">
        <v>20</v>
      </c>
      <c r="E14" s="43" t="n">
        <v>0</v>
      </c>
      <c r="F14" s="43" t="n">
        <v>0</v>
      </c>
      <c r="G14" s="43" t="n">
        <v>2</v>
      </c>
      <c r="H14" s="43" t="n">
        <v>0</v>
      </c>
      <c r="I14" s="43" t="n">
        <v>0</v>
      </c>
      <c r="J14" s="38" t="n">
        <v>0</v>
      </c>
      <c r="K14" s="38" t="n">
        <v>250000</v>
      </c>
      <c r="L14" s="33" t="n"/>
      <c r="M14" s="41">
        <f>IF(A14="","",IF(KARYAWAN!U14=0,"Resign",IF(SUM(D14:H14)=PARAMETER!$C$8,"OK","Cek hari")))</f>
        <v/>
      </c>
    </row>
    <row r="15">
      <c r="A15" s="42">
        <f>IF(KARYAWAN!A15="","",KARYAWAN!A15)</f>
        <v/>
      </c>
      <c r="B15" s="42">
        <f>IF(KARYAWAN!A15="","",KARYAWAN!B15)</f>
        <v/>
      </c>
      <c r="C15" s="42">
        <f>IF(KARYAWAN!A15="","",KARYAWAN!E15)</f>
        <v/>
      </c>
      <c r="D15" s="43" t="n">
        <v>22</v>
      </c>
      <c r="E15" s="43" t="n">
        <v>0</v>
      </c>
      <c r="F15" s="43" t="n">
        <v>0</v>
      </c>
      <c r="G15" s="43" t="n">
        <v>0</v>
      </c>
      <c r="H15" s="43" t="n">
        <v>0</v>
      </c>
      <c r="I15" s="43" t="n">
        <v>4</v>
      </c>
      <c r="J15" s="38" t="n">
        <v>0</v>
      </c>
      <c r="K15" s="38" t="n">
        <v>0</v>
      </c>
      <c r="L15" s="33" t="n"/>
      <c r="M15" s="41">
        <f>IF(A15="","",IF(KARYAWAN!U15=0,"Resign",IF(SUM(D15:H15)=PARAMETER!$C$8,"OK","Cek hari")))</f>
        <v/>
      </c>
    </row>
    <row r="16">
      <c r="A16" s="42">
        <f>IF(KARYAWAN!A16="","",KARYAWAN!A16)</f>
        <v/>
      </c>
      <c r="B16" s="42">
        <f>IF(KARYAWAN!A16="","",KARYAWAN!B16)</f>
        <v/>
      </c>
      <c r="C16" s="42">
        <f>IF(KARYAWAN!A16="","",KARYAWAN!E16)</f>
        <v/>
      </c>
      <c r="D16" s="43" t="n">
        <v>19</v>
      </c>
      <c r="E16" s="43" t="n">
        <v>0</v>
      </c>
      <c r="F16" s="43" t="n">
        <v>1</v>
      </c>
      <c r="G16" s="43" t="n">
        <v>2</v>
      </c>
      <c r="H16" s="43" t="n">
        <v>0</v>
      </c>
      <c r="I16" s="43" t="n">
        <v>12</v>
      </c>
      <c r="J16" s="38" t="n">
        <v>0</v>
      </c>
      <c r="K16" s="38" t="n">
        <v>0</v>
      </c>
      <c r="L16" s="33" t="n"/>
      <c r="M16" s="41">
        <f>IF(A16="","",IF(KARYAWAN!U16=0,"Resign",IF(SUM(D16:H16)=PARAMETER!$C$8,"OK","Cek hari")))</f>
        <v/>
      </c>
    </row>
    <row r="17">
      <c r="A17" s="42">
        <f>IF(KARYAWAN!A17="","",KARYAWAN!A17)</f>
        <v/>
      </c>
      <c r="B17" s="42">
        <f>IF(KARYAWAN!A17="","",KARYAWAN!B17)</f>
        <v/>
      </c>
      <c r="C17" s="42">
        <f>IF(KARYAWAN!A17="","",KARYAWAN!E17)</f>
        <v/>
      </c>
      <c r="D17" s="43" t="n">
        <v>16</v>
      </c>
      <c r="E17" s="43" t="n">
        <v>2</v>
      </c>
      <c r="F17" s="43" t="n">
        <v>1</v>
      </c>
      <c r="G17" s="43" t="n">
        <v>3</v>
      </c>
      <c r="H17" s="43" t="n">
        <v>0</v>
      </c>
      <c r="I17" s="43" t="n">
        <v>8</v>
      </c>
      <c r="J17" s="38" t="n">
        <v>0</v>
      </c>
      <c r="K17" s="38" t="n">
        <v>0</v>
      </c>
      <c r="L17" s="33" t="n"/>
      <c r="M17" s="41">
        <f>IF(A17="","",IF(KARYAWAN!U17=0,"Resign",IF(SUM(D17:H17)=PARAMETER!$C$8,"OK","Cek hari")))</f>
        <v/>
      </c>
    </row>
    <row r="18">
      <c r="A18" s="42">
        <f>IF(KARYAWAN!A18="","",KARYAWAN!A18)</f>
        <v/>
      </c>
      <c r="B18" s="42">
        <f>IF(KARYAWAN!A18="","",KARYAWAN!B18)</f>
        <v/>
      </c>
      <c r="C18" s="42">
        <f>IF(KARYAWAN!A18="","",KARYAWAN!E18)</f>
        <v/>
      </c>
      <c r="D18" s="43" t="n"/>
      <c r="E18" s="43" t="n"/>
      <c r="F18" s="43" t="n"/>
      <c r="G18" s="43" t="n"/>
      <c r="H18" s="43" t="n"/>
      <c r="I18" s="43" t="n"/>
      <c r="J18" s="38" t="n"/>
      <c r="K18" s="38" t="n"/>
      <c r="L18" s="33" t="n"/>
      <c r="M18" s="41">
        <f>IF(A18="","",IF(KARYAWAN!U18=0,"Resign",IF(SUM(D18:H18)=PARAMETER!$C$8,"OK","Cek hari")))</f>
        <v/>
      </c>
    </row>
    <row r="19">
      <c r="A19" s="42">
        <f>IF(KARYAWAN!A19="","",KARYAWAN!A19)</f>
        <v/>
      </c>
      <c r="B19" s="42">
        <f>IF(KARYAWAN!A19="","",KARYAWAN!B19)</f>
        <v/>
      </c>
      <c r="C19" s="42">
        <f>IF(KARYAWAN!A19="","",KARYAWAN!E19)</f>
        <v/>
      </c>
      <c r="D19" s="43" t="n"/>
      <c r="E19" s="43" t="n"/>
      <c r="F19" s="43" t="n"/>
      <c r="G19" s="43" t="n"/>
      <c r="H19" s="43" t="n"/>
      <c r="I19" s="43" t="n"/>
      <c r="J19" s="38" t="n"/>
      <c r="K19" s="38" t="n"/>
      <c r="L19" s="33" t="n"/>
      <c r="M19" s="41">
        <f>IF(A19="","",IF(KARYAWAN!U19=0,"Resign",IF(SUM(D19:H19)=PARAMETER!$C$8,"OK","Cek hari")))</f>
        <v/>
      </c>
    </row>
    <row r="20">
      <c r="A20" s="42">
        <f>IF(KARYAWAN!A20="","",KARYAWAN!A20)</f>
        <v/>
      </c>
      <c r="B20" s="42">
        <f>IF(KARYAWAN!A20="","",KARYAWAN!B20)</f>
        <v/>
      </c>
      <c r="C20" s="42">
        <f>IF(KARYAWAN!A20="","",KARYAWAN!E20)</f>
        <v/>
      </c>
      <c r="D20" s="43" t="n"/>
      <c r="E20" s="43" t="n"/>
      <c r="F20" s="43" t="n"/>
      <c r="G20" s="43" t="n"/>
      <c r="H20" s="43" t="n"/>
      <c r="I20" s="43" t="n"/>
      <c r="J20" s="38" t="n"/>
      <c r="K20" s="38" t="n"/>
      <c r="L20" s="33" t="n"/>
      <c r="M20" s="41">
        <f>IF(A20="","",IF(KARYAWAN!U20=0,"Resign",IF(SUM(D20:H20)=PARAMETER!$C$8,"OK","Cek hari")))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M3"/>
  </mergeCells>
  <conditionalFormatting sqref="M6:M20">
    <cfRule type="cellIs" priority="1" operator="equal" dxfId="2">
      <formula>"Cek hari"</formula>
    </cfRule>
    <cfRule type="cellIs" priority="2" operator="equal" dxfId="3">
      <formula>"OK"</formula>
    </cfRule>
  </conditionalFormatting>
  <dataValidations count="3">
    <dataValidation sqref="D6:H20" showDropDown="0" showInputMessage="0" showErrorMessage="1" allowBlank="1" error="Isi angka antara 0 dan 31" type="whole" operator="between">
      <formula1>0</formula1>
      <formula2>31</formula2>
    </dataValidation>
    <dataValidation sqref="I6:I20" showDropDown="0" showInputMessage="0" showErrorMessage="1" allowBlank="1" error="Isi angka antara 0 dan 200" type="decimal" operator="between">
      <formula1>0</formula1>
      <formula2>200</formula2>
    </dataValidation>
    <dataValidation sqref="J6:K20" showDropDown="0" showInputMessage="0" showErrorMessage="1" allowBlank="1" error="Isi angka antara 0 dan 1000000000" type="decimal" operator="between">
      <formula1>0</formula1>
      <formula2>1000000000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8" customWidth="1" min="4" max="4"/>
    <col width="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4" customHeight="1">
      <c r="A1" s="13" t="inlineStr">
        <is>
          <t>Payroll</t>
        </is>
      </c>
    </row>
    <row r="2">
      <c r="A2" s="14">
        <f>"Periode "&amp;CHOOSE(PARAMETER!$C$6,"Januari","Februari","Maret","April","Mei","Juni","Juli","Agustus","September","Oktober","November","Desember")&amp;" "&amp;PARAMETER!$C$7&amp;IF(PARAMETER!$C$6=12," · PPh 21 progresif (masa pajak terakhir)"," · PPh 21 metode TER")</f>
        <v/>
      </c>
    </row>
    <row r="3">
      <c r="A3" s="15" t="inlineStr">
        <is>
          <t>VERSI DEMO: kapasitas &amp; fitur dibatasi, data simulasi. Versi lengkap: WhatsApp 089623291732</t>
        </is>
      </c>
    </row>
    <row r="4">
      <c r="A4" s="44" t="inlineStr">
        <is>
          <t>TOTAL</t>
        </is>
      </c>
      <c r="B4" s="45" t="n"/>
      <c r="C4" s="45" t="n"/>
      <c r="D4" s="45" t="n"/>
      <c r="E4" s="46" t="n"/>
      <c r="F4" s="47">
        <f>SUM(F6:F20)</f>
        <v/>
      </c>
      <c r="G4" s="47">
        <f>SUM(G6:G20)</f>
        <v/>
      </c>
      <c r="H4" s="47">
        <f>SUM(H6:H20)</f>
        <v/>
      </c>
      <c r="I4" s="47">
        <f>SUM(I6:I20)</f>
        <v/>
      </c>
      <c r="J4" s="47">
        <f>SUM(J6:J20)</f>
        <v/>
      </c>
      <c r="K4" s="47">
        <f>SUM(K6:K20)</f>
        <v/>
      </c>
      <c r="L4" s="47">
        <f>SUM(L6:L20)</f>
        <v/>
      </c>
      <c r="M4" s="47">
        <f>SUM(M6:M20)</f>
        <v/>
      </c>
      <c r="N4" s="47">
        <f>SUM(N6:N20)</f>
        <v/>
      </c>
      <c r="O4" s="47">
        <f>SUM(O6:O20)</f>
        <v/>
      </c>
      <c r="P4" s="47">
        <f>SUM(P6:P20)</f>
        <v/>
      </c>
      <c r="Q4" s="47">
        <f>SUM(Q6:Q20)</f>
        <v/>
      </c>
      <c r="R4" s="47">
        <f>SUM(R6:R20)</f>
        <v/>
      </c>
      <c r="S4" s="47">
        <f>SUM(S6:S20)</f>
        <v/>
      </c>
      <c r="T4" s="47">
        <f>SUM(T6:T20)</f>
        <v/>
      </c>
      <c r="U4" s="47">
        <f>SUM(U6:U20)</f>
        <v/>
      </c>
      <c r="V4" s="47">
        <f>SUM(V6:V20)</f>
        <v/>
      </c>
      <c r="W4" s="48" t="n"/>
      <c r="X4" s="47">
        <f>SUM(X6:X20)</f>
        <v/>
      </c>
    </row>
    <row r="5" ht="66" customHeight="1">
      <c r="A5" s="27" t="inlineStr">
        <is>
          <t>ID</t>
        </is>
      </c>
      <c r="B5" s="27" t="inlineStr">
        <is>
          <t>Nama</t>
        </is>
      </c>
      <c r="C5" s="27" t="inlineStr">
        <is>
          <t>Departemen</t>
        </is>
      </c>
      <c r="D5" s="27" t="inlineStr">
        <is>
          <t>Status PTKP</t>
        </is>
      </c>
      <c r="E5" s="27" t="inlineStr">
        <is>
          <t>Kat. TER</t>
        </is>
      </c>
      <c r="F5" s="27" t="inlineStr">
        <is>
          <t>Gaji Pokok</t>
        </is>
      </c>
      <c r="G5" s="27" t="inlineStr">
        <is>
          <t>Tunjangan Tetap</t>
        </is>
      </c>
      <c r="H5" s="27">
        <f>PARAMETER!B11</f>
        <v/>
      </c>
      <c r="I5" s="27">
        <f>PARAMETER!B12</f>
        <v/>
      </c>
      <c r="J5" s="27" t="inlineStr">
        <is>
          <t>Lembur</t>
        </is>
      </c>
      <c r="K5" s="27" t="inlineStr">
        <is>
          <t>Bonus / Insentif</t>
        </is>
      </c>
      <c r="L5" s="27" t="inlineStr">
        <is>
          <t>Potongan Alpa</t>
        </is>
      </c>
      <c r="M5" s="27" t="inlineStr">
        <is>
          <t>Premi Perusahaan Kena Pajak (JKK+JKM+Kes)</t>
        </is>
      </c>
      <c r="N5" s="27" t="inlineStr">
        <is>
          <t>Penghasilan Bruto (dasar PPh)</t>
        </is>
      </c>
      <c r="O5" s="27" t="inlineStr">
        <is>
          <t>PPh 21</t>
        </is>
      </c>
      <c r="P5" s="27" t="inlineStr">
        <is>
          <t>JHT Karyawan</t>
        </is>
      </c>
      <c r="Q5" s="27" t="inlineStr">
        <is>
          <t>JP Karyawan</t>
        </is>
      </c>
      <c r="R5" s="27" t="inlineStr">
        <is>
          <t>BPJS Kes. Karyawan</t>
        </is>
      </c>
      <c r="S5" s="27" t="inlineStr">
        <is>
          <t>Potongan Lain</t>
        </is>
      </c>
      <c r="T5" s="27" t="inlineStr">
        <is>
          <t>GAJI BERSIH (THP)</t>
        </is>
      </c>
      <c r="U5" s="27" t="inlineStr">
        <is>
          <t>BPJS Perusahaan (total)</t>
        </is>
      </c>
      <c r="V5" s="27" t="inlineStr">
        <is>
          <t>TOTAL BIAYA PERUSAHAAN</t>
        </is>
      </c>
      <c r="W5" s="27" t="inlineStr">
        <is>
          <t>Tarif TER</t>
        </is>
      </c>
      <c r="X5" s="27" t="inlineStr">
        <is>
          <t>PPh 21 metode TER</t>
        </is>
      </c>
    </row>
    <row r="6">
      <c r="A6" s="42">
        <f>IF(KARYAWAN!A6="","",KARYAWAN!A6)</f>
        <v/>
      </c>
      <c r="B6" s="42">
        <f>IF($A6="","",KARYAWAN!B6)</f>
        <v/>
      </c>
      <c r="C6" s="42">
        <f>IF($A6="","",KARYAWAN!E6)</f>
        <v/>
      </c>
      <c r="D6" s="41">
        <f>IF($A6="","",KARYAWAN!J6)</f>
        <v/>
      </c>
      <c r="E6" s="41">
        <f>IF($A6="","",KARYAWAN!T6)</f>
        <v/>
      </c>
      <c r="F6" s="49">
        <f>IF($A6="","",KARYAWAN!$U6*KARYAWAN!K6)</f>
        <v/>
      </c>
      <c r="G6" s="49">
        <f>IF($A6="","",KARYAWAN!$U6*KARYAWAN!L6)</f>
        <v/>
      </c>
      <c r="H6" s="49">
        <f>IF($A6="","",KARYAWAN!$U6*ABSENSI!D6*PARAMETER!$C$11)</f>
        <v/>
      </c>
      <c r="I6" s="49">
        <f>IF($A6="","",KARYAWAN!$U6*ABSENSI!D6*PARAMETER!$C$12)</f>
        <v/>
      </c>
      <c r="J6" s="49">
        <f>IF($A6="","",ROUND(KARYAWAN!$U6*ABSENSI!I6*(F6+G6)/PARAMETER!$C$9*PARAMETER!$C$10,0))</f>
        <v/>
      </c>
      <c r="K6" s="49">
        <f>IF($A6="","",KARYAWAN!$U6*ABSENSI!J6)</f>
        <v/>
      </c>
      <c r="L6" s="49">
        <f>IF($A6="","",ROUND(KARYAWAN!$U6*ABSENSI!H6*F6/PARAMETER!$C$8,0))</f>
        <v/>
      </c>
      <c r="M6" s="49">
        <f>IF($A6="","",ROUND(MIN((F6+G6),PARAMETER!$E$24)*PARAMETER!$C$24+MIN((F6+G6),PARAMETER!$E$25)*PARAMETER!$C$25+MIN((F6+G6),PARAMETER!$E$26)*PARAMETER!$C$26,0))</f>
        <v/>
      </c>
      <c r="N6" s="49">
        <f>IF($A6="","",F6+G6+H6+I6+J6+K6-L6+M6)</f>
        <v/>
      </c>
      <c r="O6" s="49">
        <f>IF($A6="","",X6)</f>
        <v/>
      </c>
      <c r="P6" s="49">
        <f>IF($A6="","",ROUND(MIN((F6+G6),PARAMETER!$E$22)*PARAMETER!$D$22,0))</f>
        <v/>
      </c>
      <c r="Q6" s="49">
        <f>IF($A6="","",ROUND(MIN((F6+G6),PARAMETER!$E$23)*PARAMETER!$D$23,0))</f>
        <v/>
      </c>
      <c r="R6" s="49">
        <f>IF($A6="","",ROUND(MIN((F6+G6),PARAMETER!$E$26)*PARAMETER!$D$26,0))</f>
        <v/>
      </c>
      <c r="S6" s="49">
        <f>IF($A6="","",KARYAWAN!$U6*ABSENSI!K6)</f>
        <v/>
      </c>
      <c r="T6" s="50">
        <f>IF($A6="","",F6+G6+H6+I6+J6+K6-L6-O6-P6-Q6-R6-S6)</f>
        <v/>
      </c>
      <c r="U6" s="49">
        <f>IF($A6="","",M6+ROUND(MIN((F6+G6),PARAMETER!$E$22)*PARAMETER!$C$22,0)+ROUND(MIN((F6+G6),PARAMETER!$E$23)*PARAMETER!$C$23,0))</f>
        <v/>
      </c>
      <c r="V6" s="51">
        <f>IF($A6="","",F6+G6+H6+I6+J6+K6-L6+U6)</f>
        <v/>
      </c>
      <c r="W6" s="52">
        <f>IF($A6="","",IF(E6="A",INDEX(TARIF_TER!$C$7:$C$50,MATCH(N6,TARIF_TER!$B$7:$B$50,1)),IF(E6="B",INDEX(TARIF_TER!$F$7:$F$46,MATCH(N6,TARIF_TER!$E$7:$E$46,1)),INDEX(TARIF_TER!$I$7:$I$47,MATCH(N6,TARIF_TER!$H$7:$H$47,1)))))</f>
        <v/>
      </c>
      <c r="X6" s="49">
        <f>IF($A6="","",ROUND(N6*W6,0))</f>
        <v/>
      </c>
    </row>
    <row r="7">
      <c r="A7" s="42">
        <f>IF(KARYAWAN!A7="","",KARYAWAN!A7)</f>
        <v/>
      </c>
      <c r="B7" s="42">
        <f>IF($A7="","",KARYAWAN!B7)</f>
        <v/>
      </c>
      <c r="C7" s="42">
        <f>IF($A7="","",KARYAWAN!E7)</f>
        <v/>
      </c>
      <c r="D7" s="41">
        <f>IF($A7="","",KARYAWAN!J7)</f>
        <v/>
      </c>
      <c r="E7" s="41">
        <f>IF($A7="","",KARYAWAN!T7)</f>
        <v/>
      </c>
      <c r="F7" s="49">
        <f>IF($A7="","",KARYAWAN!$U7*KARYAWAN!K7)</f>
        <v/>
      </c>
      <c r="G7" s="49">
        <f>IF($A7="","",KARYAWAN!$U7*KARYAWAN!L7)</f>
        <v/>
      </c>
      <c r="H7" s="49">
        <f>IF($A7="","",KARYAWAN!$U7*ABSENSI!D7*PARAMETER!$C$11)</f>
        <v/>
      </c>
      <c r="I7" s="49">
        <f>IF($A7="","",KARYAWAN!$U7*ABSENSI!D7*PARAMETER!$C$12)</f>
        <v/>
      </c>
      <c r="J7" s="49">
        <f>IF($A7="","",ROUND(KARYAWAN!$U7*ABSENSI!I7*(F7+G7)/PARAMETER!$C$9*PARAMETER!$C$10,0))</f>
        <v/>
      </c>
      <c r="K7" s="49">
        <f>IF($A7="","",KARYAWAN!$U7*ABSENSI!J7)</f>
        <v/>
      </c>
      <c r="L7" s="49">
        <f>IF($A7="","",ROUND(KARYAWAN!$U7*ABSENSI!H7*F7/PARAMETER!$C$8,0))</f>
        <v/>
      </c>
      <c r="M7" s="49">
        <f>IF($A7="","",ROUND(MIN((F7+G7),PARAMETER!$E$24)*PARAMETER!$C$24+MIN((F7+G7),PARAMETER!$E$25)*PARAMETER!$C$25+MIN((F7+G7),PARAMETER!$E$26)*PARAMETER!$C$26,0))</f>
        <v/>
      </c>
      <c r="N7" s="49">
        <f>IF($A7="","",F7+G7+H7+I7+J7+K7-L7+M7)</f>
        <v/>
      </c>
      <c r="O7" s="49">
        <f>IF($A7="","",X7)</f>
        <v/>
      </c>
      <c r="P7" s="49">
        <f>IF($A7="","",ROUND(MIN((F7+G7),PARAMETER!$E$22)*PARAMETER!$D$22,0))</f>
        <v/>
      </c>
      <c r="Q7" s="49">
        <f>IF($A7="","",ROUND(MIN((F7+G7),PARAMETER!$E$23)*PARAMETER!$D$23,0))</f>
        <v/>
      </c>
      <c r="R7" s="49">
        <f>IF($A7="","",ROUND(MIN((F7+G7),PARAMETER!$E$26)*PARAMETER!$D$26,0))</f>
        <v/>
      </c>
      <c r="S7" s="49">
        <f>IF($A7="","",KARYAWAN!$U7*ABSENSI!K7)</f>
        <v/>
      </c>
      <c r="T7" s="50">
        <f>IF($A7="","",F7+G7+H7+I7+J7+K7-L7-O7-P7-Q7-R7-S7)</f>
        <v/>
      </c>
      <c r="U7" s="49">
        <f>IF($A7="","",M7+ROUND(MIN((F7+G7),PARAMETER!$E$22)*PARAMETER!$C$22,0)+ROUND(MIN((F7+G7),PARAMETER!$E$23)*PARAMETER!$C$23,0))</f>
        <v/>
      </c>
      <c r="V7" s="51">
        <f>IF($A7="","",F7+G7+H7+I7+J7+K7-L7+U7)</f>
        <v/>
      </c>
      <c r="W7" s="52">
        <f>IF($A7="","",IF(E7="A",INDEX(TARIF_TER!$C$7:$C$50,MATCH(N7,TARIF_TER!$B$7:$B$50,1)),IF(E7="B",INDEX(TARIF_TER!$F$7:$F$46,MATCH(N7,TARIF_TER!$E$7:$E$46,1)),INDEX(TARIF_TER!$I$7:$I$47,MATCH(N7,TARIF_TER!$H$7:$H$47,1)))))</f>
        <v/>
      </c>
      <c r="X7" s="49">
        <f>IF($A7="","",ROUND(N7*W7,0))</f>
        <v/>
      </c>
    </row>
    <row r="8">
      <c r="A8" s="42">
        <f>IF(KARYAWAN!A8="","",KARYAWAN!A8)</f>
        <v/>
      </c>
      <c r="B8" s="42">
        <f>IF($A8="","",KARYAWAN!B8)</f>
        <v/>
      </c>
      <c r="C8" s="42">
        <f>IF($A8="","",KARYAWAN!E8)</f>
        <v/>
      </c>
      <c r="D8" s="41">
        <f>IF($A8="","",KARYAWAN!J8)</f>
        <v/>
      </c>
      <c r="E8" s="41">
        <f>IF($A8="","",KARYAWAN!T8)</f>
        <v/>
      </c>
      <c r="F8" s="49">
        <f>IF($A8="","",KARYAWAN!$U8*KARYAWAN!K8)</f>
        <v/>
      </c>
      <c r="G8" s="49">
        <f>IF($A8="","",KARYAWAN!$U8*KARYAWAN!L8)</f>
        <v/>
      </c>
      <c r="H8" s="49">
        <f>IF($A8="","",KARYAWAN!$U8*ABSENSI!D8*PARAMETER!$C$11)</f>
        <v/>
      </c>
      <c r="I8" s="49">
        <f>IF($A8="","",KARYAWAN!$U8*ABSENSI!D8*PARAMETER!$C$12)</f>
        <v/>
      </c>
      <c r="J8" s="49">
        <f>IF($A8="","",ROUND(KARYAWAN!$U8*ABSENSI!I8*(F8+G8)/PARAMETER!$C$9*PARAMETER!$C$10,0))</f>
        <v/>
      </c>
      <c r="K8" s="49">
        <f>IF($A8="","",KARYAWAN!$U8*ABSENSI!J8)</f>
        <v/>
      </c>
      <c r="L8" s="49">
        <f>IF($A8="","",ROUND(KARYAWAN!$U8*ABSENSI!H8*F8/PARAMETER!$C$8,0))</f>
        <v/>
      </c>
      <c r="M8" s="49">
        <f>IF($A8="","",ROUND(MIN((F8+G8),PARAMETER!$E$24)*PARAMETER!$C$24+MIN((F8+G8),PARAMETER!$E$25)*PARAMETER!$C$25+MIN((F8+G8),PARAMETER!$E$26)*PARAMETER!$C$26,0))</f>
        <v/>
      </c>
      <c r="N8" s="49">
        <f>IF($A8="","",F8+G8+H8+I8+J8+K8-L8+M8)</f>
        <v/>
      </c>
      <c r="O8" s="49">
        <f>IF($A8="","",X8)</f>
        <v/>
      </c>
      <c r="P8" s="49">
        <f>IF($A8="","",ROUND(MIN((F8+G8),PARAMETER!$E$22)*PARAMETER!$D$22,0))</f>
        <v/>
      </c>
      <c r="Q8" s="49">
        <f>IF($A8="","",ROUND(MIN((F8+G8),PARAMETER!$E$23)*PARAMETER!$D$23,0))</f>
        <v/>
      </c>
      <c r="R8" s="49">
        <f>IF($A8="","",ROUND(MIN((F8+G8),PARAMETER!$E$26)*PARAMETER!$D$26,0))</f>
        <v/>
      </c>
      <c r="S8" s="49">
        <f>IF($A8="","",KARYAWAN!$U8*ABSENSI!K8)</f>
        <v/>
      </c>
      <c r="T8" s="50">
        <f>IF($A8="","",F8+G8+H8+I8+J8+K8-L8-O8-P8-Q8-R8-S8)</f>
        <v/>
      </c>
      <c r="U8" s="49">
        <f>IF($A8="","",M8+ROUND(MIN((F8+G8),PARAMETER!$E$22)*PARAMETER!$C$22,0)+ROUND(MIN((F8+G8),PARAMETER!$E$23)*PARAMETER!$C$23,0))</f>
        <v/>
      </c>
      <c r="V8" s="51">
        <f>IF($A8="","",F8+G8+H8+I8+J8+K8-L8+U8)</f>
        <v/>
      </c>
      <c r="W8" s="52">
        <f>IF($A8="","",IF(E8="A",INDEX(TARIF_TER!$C$7:$C$50,MATCH(N8,TARIF_TER!$B$7:$B$50,1)),IF(E8="B",INDEX(TARIF_TER!$F$7:$F$46,MATCH(N8,TARIF_TER!$E$7:$E$46,1)),INDEX(TARIF_TER!$I$7:$I$47,MATCH(N8,TARIF_TER!$H$7:$H$47,1)))))</f>
        <v/>
      </c>
      <c r="X8" s="49">
        <f>IF($A8="","",ROUND(N8*W8,0))</f>
        <v/>
      </c>
    </row>
    <row r="9">
      <c r="A9" s="42">
        <f>IF(KARYAWAN!A9="","",KARYAWAN!A9)</f>
        <v/>
      </c>
      <c r="B9" s="42">
        <f>IF($A9="","",KARYAWAN!B9)</f>
        <v/>
      </c>
      <c r="C9" s="42">
        <f>IF($A9="","",KARYAWAN!E9)</f>
        <v/>
      </c>
      <c r="D9" s="41">
        <f>IF($A9="","",KARYAWAN!J9)</f>
        <v/>
      </c>
      <c r="E9" s="41">
        <f>IF($A9="","",KARYAWAN!T9)</f>
        <v/>
      </c>
      <c r="F9" s="49">
        <f>IF($A9="","",KARYAWAN!$U9*KARYAWAN!K9)</f>
        <v/>
      </c>
      <c r="G9" s="49">
        <f>IF($A9="","",KARYAWAN!$U9*KARYAWAN!L9)</f>
        <v/>
      </c>
      <c r="H9" s="49">
        <f>IF($A9="","",KARYAWAN!$U9*ABSENSI!D9*PARAMETER!$C$11)</f>
        <v/>
      </c>
      <c r="I9" s="49">
        <f>IF($A9="","",KARYAWAN!$U9*ABSENSI!D9*PARAMETER!$C$12)</f>
        <v/>
      </c>
      <c r="J9" s="49">
        <f>IF($A9="","",ROUND(KARYAWAN!$U9*ABSENSI!I9*(F9+G9)/PARAMETER!$C$9*PARAMETER!$C$10,0))</f>
        <v/>
      </c>
      <c r="K9" s="49">
        <f>IF($A9="","",KARYAWAN!$U9*ABSENSI!J9)</f>
        <v/>
      </c>
      <c r="L9" s="49">
        <f>IF($A9="","",ROUND(KARYAWAN!$U9*ABSENSI!H9*F9/PARAMETER!$C$8,0))</f>
        <v/>
      </c>
      <c r="M9" s="49">
        <f>IF($A9="","",ROUND(MIN((F9+G9),PARAMETER!$E$24)*PARAMETER!$C$24+MIN((F9+G9),PARAMETER!$E$25)*PARAMETER!$C$25+MIN((F9+G9),PARAMETER!$E$26)*PARAMETER!$C$26,0))</f>
        <v/>
      </c>
      <c r="N9" s="49">
        <f>IF($A9="","",F9+G9+H9+I9+J9+K9-L9+M9)</f>
        <v/>
      </c>
      <c r="O9" s="49">
        <f>IF($A9="","",X9)</f>
        <v/>
      </c>
      <c r="P9" s="49">
        <f>IF($A9="","",ROUND(MIN((F9+G9),PARAMETER!$E$22)*PARAMETER!$D$22,0))</f>
        <v/>
      </c>
      <c r="Q9" s="49">
        <f>IF($A9="","",ROUND(MIN((F9+G9),PARAMETER!$E$23)*PARAMETER!$D$23,0))</f>
        <v/>
      </c>
      <c r="R9" s="49">
        <f>IF($A9="","",ROUND(MIN((F9+G9),PARAMETER!$E$26)*PARAMETER!$D$26,0))</f>
        <v/>
      </c>
      <c r="S9" s="49">
        <f>IF($A9="","",KARYAWAN!$U9*ABSENSI!K9)</f>
        <v/>
      </c>
      <c r="T9" s="50">
        <f>IF($A9="","",F9+G9+H9+I9+J9+K9-L9-O9-P9-Q9-R9-S9)</f>
        <v/>
      </c>
      <c r="U9" s="49">
        <f>IF($A9="","",M9+ROUND(MIN((F9+G9),PARAMETER!$E$22)*PARAMETER!$C$22,0)+ROUND(MIN((F9+G9),PARAMETER!$E$23)*PARAMETER!$C$23,0))</f>
        <v/>
      </c>
      <c r="V9" s="51">
        <f>IF($A9="","",F9+G9+H9+I9+J9+K9-L9+U9)</f>
        <v/>
      </c>
      <c r="W9" s="52">
        <f>IF($A9="","",IF(E9="A",INDEX(TARIF_TER!$C$7:$C$50,MATCH(N9,TARIF_TER!$B$7:$B$50,1)),IF(E9="B",INDEX(TARIF_TER!$F$7:$F$46,MATCH(N9,TARIF_TER!$E$7:$E$46,1)),INDEX(TARIF_TER!$I$7:$I$47,MATCH(N9,TARIF_TER!$H$7:$H$47,1)))))</f>
        <v/>
      </c>
      <c r="X9" s="49">
        <f>IF($A9="","",ROUND(N9*W9,0))</f>
        <v/>
      </c>
    </row>
    <row r="10">
      <c r="A10" s="42">
        <f>IF(KARYAWAN!A10="","",KARYAWAN!A10)</f>
        <v/>
      </c>
      <c r="B10" s="42">
        <f>IF($A10="","",KARYAWAN!B10)</f>
        <v/>
      </c>
      <c r="C10" s="42">
        <f>IF($A10="","",KARYAWAN!E10)</f>
        <v/>
      </c>
      <c r="D10" s="41">
        <f>IF($A10="","",KARYAWAN!J10)</f>
        <v/>
      </c>
      <c r="E10" s="41">
        <f>IF($A10="","",KARYAWAN!T10)</f>
        <v/>
      </c>
      <c r="F10" s="49">
        <f>IF($A10="","",KARYAWAN!$U10*KARYAWAN!K10)</f>
        <v/>
      </c>
      <c r="G10" s="49">
        <f>IF($A10="","",KARYAWAN!$U10*KARYAWAN!L10)</f>
        <v/>
      </c>
      <c r="H10" s="49">
        <f>IF($A10="","",KARYAWAN!$U10*ABSENSI!D10*PARAMETER!$C$11)</f>
        <v/>
      </c>
      <c r="I10" s="49">
        <f>IF($A10="","",KARYAWAN!$U10*ABSENSI!D10*PARAMETER!$C$12)</f>
        <v/>
      </c>
      <c r="J10" s="49">
        <f>IF($A10="","",ROUND(KARYAWAN!$U10*ABSENSI!I10*(F10+G10)/PARAMETER!$C$9*PARAMETER!$C$10,0))</f>
        <v/>
      </c>
      <c r="K10" s="49">
        <f>IF($A10="","",KARYAWAN!$U10*ABSENSI!J10)</f>
        <v/>
      </c>
      <c r="L10" s="49">
        <f>IF($A10="","",ROUND(KARYAWAN!$U10*ABSENSI!H10*F10/PARAMETER!$C$8,0))</f>
        <v/>
      </c>
      <c r="M10" s="49">
        <f>IF($A10="","",ROUND(MIN((F10+G10),PARAMETER!$E$24)*PARAMETER!$C$24+MIN((F10+G10),PARAMETER!$E$25)*PARAMETER!$C$25+MIN((F10+G10),PARAMETER!$E$26)*PARAMETER!$C$26,0))</f>
        <v/>
      </c>
      <c r="N10" s="49">
        <f>IF($A10="","",F10+G10+H10+I10+J10+K10-L10+M10)</f>
        <v/>
      </c>
      <c r="O10" s="49">
        <f>IF($A10="","",X10)</f>
        <v/>
      </c>
      <c r="P10" s="49">
        <f>IF($A10="","",ROUND(MIN((F10+G10),PARAMETER!$E$22)*PARAMETER!$D$22,0))</f>
        <v/>
      </c>
      <c r="Q10" s="49">
        <f>IF($A10="","",ROUND(MIN((F10+G10),PARAMETER!$E$23)*PARAMETER!$D$23,0))</f>
        <v/>
      </c>
      <c r="R10" s="49">
        <f>IF($A10="","",ROUND(MIN((F10+G10),PARAMETER!$E$26)*PARAMETER!$D$26,0))</f>
        <v/>
      </c>
      <c r="S10" s="49">
        <f>IF($A10="","",KARYAWAN!$U10*ABSENSI!K10)</f>
        <v/>
      </c>
      <c r="T10" s="50">
        <f>IF($A10="","",F10+G10+H10+I10+J10+K10-L10-O10-P10-Q10-R10-S10)</f>
        <v/>
      </c>
      <c r="U10" s="49">
        <f>IF($A10="","",M10+ROUND(MIN((F10+G10),PARAMETER!$E$22)*PARAMETER!$C$22,0)+ROUND(MIN((F10+G10),PARAMETER!$E$23)*PARAMETER!$C$23,0))</f>
        <v/>
      </c>
      <c r="V10" s="51">
        <f>IF($A10="","",F10+G10+H10+I10+J10+K10-L10+U10)</f>
        <v/>
      </c>
      <c r="W10" s="52">
        <f>IF($A10="","",IF(E10="A",INDEX(TARIF_TER!$C$7:$C$50,MATCH(N10,TARIF_TER!$B$7:$B$50,1)),IF(E10="B",INDEX(TARIF_TER!$F$7:$F$46,MATCH(N10,TARIF_TER!$E$7:$E$46,1)),INDEX(TARIF_TER!$I$7:$I$47,MATCH(N10,TARIF_TER!$H$7:$H$47,1)))))</f>
        <v/>
      </c>
      <c r="X10" s="49">
        <f>IF($A10="","",ROUND(N10*W10,0))</f>
        <v/>
      </c>
    </row>
    <row r="11">
      <c r="A11" s="42">
        <f>IF(KARYAWAN!A11="","",KARYAWAN!A11)</f>
        <v/>
      </c>
      <c r="B11" s="42">
        <f>IF($A11="","",KARYAWAN!B11)</f>
        <v/>
      </c>
      <c r="C11" s="42">
        <f>IF($A11="","",KARYAWAN!E11)</f>
        <v/>
      </c>
      <c r="D11" s="41">
        <f>IF($A11="","",KARYAWAN!J11)</f>
        <v/>
      </c>
      <c r="E11" s="41">
        <f>IF($A11="","",KARYAWAN!T11)</f>
        <v/>
      </c>
      <c r="F11" s="49">
        <f>IF($A11="","",KARYAWAN!$U11*KARYAWAN!K11)</f>
        <v/>
      </c>
      <c r="G11" s="49">
        <f>IF($A11="","",KARYAWAN!$U11*KARYAWAN!L11)</f>
        <v/>
      </c>
      <c r="H11" s="49">
        <f>IF($A11="","",KARYAWAN!$U11*ABSENSI!D11*PARAMETER!$C$11)</f>
        <v/>
      </c>
      <c r="I11" s="49">
        <f>IF($A11="","",KARYAWAN!$U11*ABSENSI!D11*PARAMETER!$C$12)</f>
        <v/>
      </c>
      <c r="J11" s="49">
        <f>IF($A11="","",ROUND(KARYAWAN!$U11*ABSENSI!I11*(F11+G11)/PARAMETER!$C$9*PARAMETER!$C$10,0))</f>
        <v/>
      </c>
      <c r="K11" s="49">
        <f>IF($A11="","",KARYAWAN!$U11*ABSENSI!J11)</f>
        <v/>
      </c>
      <c r="L11" s="49">
        <f>IF($A11="","",ROUND(KARYAWAN!$U11*ABSENSI!H11*F11/PARAMETER!$C$8,0))</f>
        <v/>
      </c>
      <c r="M11" s="49">
        <f>IF($A11="","",ROUND(MIN((F11+G11),PARAMETER!$E$24)*PARAMETER!$C$24+MIN((F11+G11),PARAMETER!$E$25)*PARAMETER!$C$25+MIN((F11+G11),PARAMETER!$E$26)*PARAMETER!$C$26,0))</f>
        <v/>
      </c>
      <c r="N11" s="49">
        <f>IF($A11="","",F11+G11+H11+I11+J11+K11-L11+M11)</f>
        <v/>
      </c>
      <c r="O11" s="49">
        <f>IF($A11="","",X11)</f>
        <v/>
      </c>
      <c r="P11" s="49">
        <f>IF($A11="","",ROUND(MIN((F11+G11),PARAMETER!$E$22)*PARAMETER!$D$22,0))</f>
        <v/>
      </c>
      <c r="Q11" s="49">
        <f>IF($A11="","",ROUND(MIN((F11+G11),PARAMETER!$E$23)*PARAMETER!$D$23,0))</f>
        <v/>
      </c>
      <c r="R11" s="49">
        <f>IF($A11="","",ROUND(MIN((F11+G11),PARAMETER!$E$26)*PARAMETER!$D$26,0))</f>
        <v/>
      </c>
      <c r="S11" s="49">
        <f>IF($A11="","",KARYAWAN!$U11*ABSENSI!K11)</f>
        <v/>
      </c>
      <c r="T11" s="50">
        <f>IF($A11="","",F11+G11+H11+I11+J11+K11-L11-O11-P11-Q11-R11-S11)</f>
        <v/>
      </c>
      <c r="U11" s="49">
        <f>IF($A11="","",M11+ROUND(MIN((F11+G11),PARAMETER!$E$22)*PARAMETER!$C$22,0)+ROUND(MIN((F11+G11),PARAMETER!$E$23)*PARAMETER!$C$23,0))</f>
        <v/>
      </c>
      <c r="V11" s="51">
        <f>IF($A11="","",F11+G11+H11+I11+J11+K11-L11+U11)</f>
        <v/>
      </c>
      <c r="W11" s="52">
        <f>IF($A11="","",IF(E11="A",INDEX(TARIF_TER!$C$7:$C$50,MATCH(N11,TARIF_TER!$B$7:$B$50,1)),IF(E11="B",INDEX(TARIF_TER!$F$7:$F$46,MATCH(N11,TARIF_TER!$E$7:$E$46,1)),INDEX(TARIF_TER!$I$7:$I$47,MATCH(N11,TARIF_TER!$H$7:$H$47,1)))))</f>
        <v/>
      </c>
      <c r="X11" s="49">
        <f>IF($A11="","",ROUND(N11*W11,0))</f>
        <v/>
      </c>
    </row>
    <row r="12">
      <c r="A12" s="42">
        <f>IF(KARYAWAN!A12="","",KARYAWAN!A12)</f>
        <v/>
      </c>
      <c r="B12" s="42">
        <f>IF($A12="","",KARYAWAN!B12)</f>
        <v/>
      </c>
      <c r="C12" s="42">
        <f>IF($A12="","",KARYAWAN!E12)</f>
        <v/>
      </c>
      <c r="D12" s="41">
        <f>IF($A12="","",KARYAWAN!J12)</f>
        <v/>
      </c>
      <c r="E12" s="41">
        <f>IF($A12="","",KARYAWAN!T12)</f>
        <v/>
      </c>
      <c r="F12" s="49">
        <f>IF($A12="","",KARYAWAN!$U12*KARYAWAN!K12)</f>
        <v/>
      </c>
      <c r="G12" s="49">
        <f>IF($A12="","",KARYAWAN!$U12*KARYAWAN!L12)</f>
        <v/>
      </c>
      <c r="H12" s="49">
        <f>IF($A12="","",KARYAWAN!$U12*ABSENSI!D12*PARAMETER!$C$11)</f>
        <v/>
      </c>
      <c r="I12" s="49">
        <f>IF($A12="","",KARYAWAN!$U12*ABSENSI!D12*PARAMETER!$C$12)</f>
        <v/>
      </c>
      <c r="J12" s="49">
        <f>IF($A12="","",ROUND(KARYAWAN!$U12*ABSENSI!I12*(F12+G12)/PARAMETER!$C$9*PARAMETER!$C$10,0))</f>
        <v/>
      </c>
      <c r="K12" s="49">
        <f>IF($A12="","",KARYAWAN!$U12*ABSENSI!J12)</f>
        <v/>
      </c>
      <c r="L12" s="49">
        <f>IF($A12="","",ROUND(KARYAWAN!$U12*ABSENSI!H12*F12/PARAMETER!$C$8,0))</f>
        <v/>
      </c>
      <c r="M12" s="49">
        <f>IF($A12="","",ROUND(MIN((F12+G12),PARAMETER!$E$24)*PARAMETER!$C$24+MIN((F12+G12),PARAMETER!$E$25)*PARAMETER!$C$25+MIN((F12+G12),PARAMETER!$E$26)*PARAMETER!$C$26,0))</f>
        <v/>
      </c>
      <c r="N12" s="49">
        <f>IF($A12="","",F12+G12+H12+I12+J12+K12-L12+M12)</f>
        <v/>
      </c>
      <c r="O12" s="49">
        <f>IF($A12="","",X12)</f>
        <v/>
      </c>
      <c r="P12" s="49">
        <f>IF($A12="","",ROUND(MIN((F12+G12),PARAMETER!$E$22)*PARAMETER!$D$22,0))</f>
        <v/>
      </c>
      <c r="Q12" s="49">
        <f>IF($A12="","",ROUND(MIN((F12+G12),PARAMETER!$E$23)*PARAMETER!$D$23,0))</f>
        <v/>
      </c>
      <c r="R12" s="49">
        <f>IF($A12="","",ROUND(MIN((F12+G12),PARAMETER!$E$26)*PARAMETER!$D$26,0))</f>
        <v/>
      </c>
      <c r="S12" s="49">
        <f>IF($A12="","",KARYAWAN!$U12*ABSENSI!K12)</f>
        <v/>
      </c>
      <c r="T12" s="50">
        <f>IF($A12="","",F12+G12+H12+I12+J12+K12-L12-O12-P12-Q12-R12-S12)</f>
        <v/>
      </c>
      <c r="U12" s="49">
        <f>IF($A12="","",M12+ROUND(MIN((F12+G12),PARAMETER!$E$22)*PARAMETER!$C$22,0)+ROUND(MIN((F12+G12),PARAMETER!$E$23)*PARAMETER!$C$23,0))</f>
        <v/>
      </c>
      <c r="V12" s="51">
        <f>IF($A12="","",F12+G12+H12+I12+J12+K12-L12+U12)</f>
        <v/>
      </c>
      <c r="W12" s="52">
        <f>IF($A12="","",IF(E12="A",INDEX(TARIF_TER!$C$7:$C$50,MATCH(N12,TARIF_TER!$B$7:$B$50,1)),IF(E12="B",INDEX(TARIF_TER!$F$7:$F$46,MATCH(N12,TARIF_TER!$E$7:$E$46,1)),INDEX(TARIF_TER!$I$7:$I$47,MATCH(N12,TARIF_TER!$H$7:$H$47,1)))))</f>
        <v/>
      </c>
      <c r="X12" s="49">
        <f>IF($A12="","",ROUND(N12*W12,0))</f>
        <v/>
      </c>
    </row>
    <row r="13">
      <c r="A13" s="42">
        <f>IF(KARYAWAN!A13="","",KARYAWAN!A13)</f>
        <v/>
      </c>
      <c r="B13" s="42">
        <f>IF($A13="","",KARYAWAN!B13)</f>
        <v/>
      </c>
      <c r="C13" s="42">
        <f>IF($A13="","",KARYAWAN!E13)</f>
        <v/>
      </c>
      <c r="D13" s="41">
        <f>IF($A13="","",KARYAWAN!J13)</f>
        <v/>
      </c>
      <c r="E13" s="41">
        <f>IF($A13="","",KARYAWAN!T13)</f>
        <v/>
      </c>
      <c r="F13" s="49">
        <f>IF($A13="","",KARYAWAN!$U13*KARYAWAN!K13)</f>
        <v/>
      </c>
      <c r="G13" s="49">
        <f>IF($A13="","",KARYAWAN!$U13*KARYAWAN!L13)</f>
        <v/>
      </c>
      <c r="H13" s="49">
        <f>IF($A13="","",KARYAWAN!$U13*ABSENSI!D13*PARAMETER!$C$11)</f>
        <v/>
      </c>
      <c r="I13" s="49">
        <f>IF($A13="","",KARYAWAN!$U13*ABSENSI!D13*PARAMETER!$C$12)</f>
        <v/>
      </c>
      <c r="J13" s="49">
        <f>IF($A13="","",ROUND(KARYAWAN!$U13*ABSENSI!I13*(F13+G13)/PARAMETER!$C$9*PARAMETER!$C$10,0))</f>
        <v/>
      </c>
      <c r="K13" s="49">
        <f>IF($A13="","",KARYAWAN!$U13*ABSENSI!J13)</f>
        <v/>
      </c>
      <c r="L13" s="49">
        <f>IF($A13="","",ROUND(KARYAWAN!$U13*ABSENSI!H13*F13/PARAMETER!$C$8,0))</f>
        <v/>
      </c>
      <c r="M13" s="49">
        <f>IF($A13="","",ROUND(MIN((F13+G13),PARAMETER!$E$24)*PARAMETER!$C$24+MIN((F13+G13),PARAMETER!$E$25)*PARAMETER!$C$25+MIN((F13+G13),PARAMETER!$E$26)*PARAMETER!$C$26,0))</f>
        <v/>
      </c>
      <c r="N13" s="49">
        <f>IF($A13="","",F13+G13+H13+I13+J13+K13-L13+M13)</f>
        <v/>
      </c>
      <c r="O13" s="49">
        <f>IF($A13="","",X13)</f>
        <v/>
      </c>
      <c r="P13" s="49">
        <f>IF($A13="","",ROUND(MIN((F13+G13),PARAMETER!$E$22)*PARAMETER!$D$22,0))</f>
        <v/>
      </c>
      <c r="Q13" s="49">
        <f>IF($A13="","",ROUND(MIN((F13+G13),PARAMETER!$E$23)*PARAMETER!$D$23,0))</f>
        <v/>
      </c>
      <c r="R13" s="49">
        <f>IF($A13="","",ROUND(MIN((F13+G13),PARAMETER!$E$26)*PARAMETER!$D$26,0))</f>
        <v/>
      </c>
      <c r="S13" s="49">
        <f>IF($A13="","",KARYAWAN!$U13*ABSENSI!K13)</f>
        <v/>
      </c>
      <c r="T13" s="50">
        <f>IF($A13="","",F13+G13+H13+I13+J13+K13-L13-O13-P13-Q13-R13-S13)</f>
        <v/>
      </c>
      <c r="U13" s="49">
        <f>IF($A13="","",M13+ROUND(MIN((F13+G13),PARAMETER!$E$22)*PARAMETER!$C$22,0)+ROUND(MIN((F13+G13),PARAMETER!$E$23)*PARAMETER!$C$23,0))</f>
        <v/>
      </c>
      <c r="V13" s="51">
        <f>IF($A13="","",F13+G13+H13+I13+J13+K13-L13+U13)</f>
        <v/>
      </c>
      <c r="W13" s="52">
        <f>IF($A13="","",IF(E13="A",INDEX(TARIF_TER!$C$7:$C$50,MATCH(N13,TARIF_TER!$B$7:$B$50,1)),IF(E13="B",INDEX(TARIF_TER!$F$7:$F$46,MATCH(N13,TARIF_TER!$E$7:$E$46,1)),INDEX(TARIF_TER!$I$7:$I$47,MATCH(N13,TARIF_TER!$H$7:$H$47,1)))))</f>
        <v/>
      </c>
      <c r="X13" s="49">
        <f>IF($A13="","",ROUND(N13*W13,0))</f>
        <v/>
      </c>
    </row>
    <row r="14">
      <c r="A14" s="42">
        <f>IF(KARYAWAN!A14="","",KARYAWAN!A14)</f>
        <v/>
      </c>
      <c r="B14" s="42">
        <f>IF($A14="","",KARYAWAN!B14)</f>
        <v/>
      </c>
      <c r="C14" s="42">
        <f>IF($A14="","",KARYAWAN!E14)</f>
        <v/>
      </c>
      <c r="D14" s="41">
        <f>IF($A14="","",KARYAWAN!J14)</f>
        <v/>
      </c>
      <c r="E14" s="41">
        <f>IF($A14="","",KARYAWAN!T14)</f>
        <v/>
      </c>
      <c r="F14" s="49">
        <f>IF($A14="","",KARYAWAN!$U14*KARYAWAN!K14)</f>
        <v/>
      </c>
      <c r="G14" s="49">
        <f>IF($A14="","",KARYAWAN!$U14*KARYAWAN!L14)</f>
        <v/>
      </c>
      <c r="H14" s="49">
        <f>IF($A14="","",KARYAWAN!$U14*ABSENSI!D14*PARAMETER!$C$11)</f>
        <v/>
      </c>
      <c r="I14" s="49">
        <f>IF($A14="","",KARYAWAN!$U14*ABSENSI!D14*PARAMETER!$C$12)</f>
        <v/>
      </c>
      <c r="J14" s="49">
        <f>IF($A14="","",ROUND(KARYAWAN!$U14*ABSENSI!I14*(F14+G14)/PARAMETER!$C$9*PARAMETER!$C$10,0))</f>
        <v/>
      </c>
      <c r="K14" s="49">
        <f>IF($A14="","",KARYAWAN!$U14*ABSENSI!J14)</f>
        <v/>
      </c>
      <c r="L14" s="49">
        <f>IF($A14="","",ROUND(KARYAWAN!$U14*ABSENSI!H14*F14/PARAMETER!$C$8,0))</f>
        <v/>
      </c>
      <c r="M14" s="49">
        <f>IF($A14="","",ROUND(MIN((F14+G14),PARAMETER!$E$24)*PARAMETER!$C$24+MIN((F14+G14),PARAMETER!$E$25)*PARAMETER!$C$25+MIN((F14+G14),PARAMETER!$E$26)*PARAMETER!$C$26,0))</f>
        <v/>
      </c>
      <c r="N14" s="49">
        <f>IF($A14="","",F14+G14+H14+I14+J14+K14-L14+M14)</f>
        <v/>
      </c>
      <c r="O14" s="49">
        <f>IF($A14="","",X14)</f>
        <v/>
      </c>
      <c r="P14" s="49">
        <f>IF($A14="","",ROUND(MIN((F14+G14),PARAMETER!$E$22)*PARAMETER!$D$22,0))</f>
        <v/>
      </c>
      <c r="Q14" s="49">
        <f>IF($A14="","",ROUND(MIN((F14+G14),PARAMETER!$E$23)*PARAMETER!$D$23,0))</f>
        <v/>
      </c>
      <c r="R14" s="49">
        <f>IF($A14="","",ROUND(MIN((F14+G14),PARAMETER!$E$26)*PARAMETER!$D$26,0))</f>
        <v/>
      </c>
      <c r="S14" s="49">
        <f>IF($A14="","",KARYAWAN!$U14*ABSENSI!K14)</f>
        <v/>
      </c>
      <c r="T14" s="50">
        <f>IF($A14="","",F14+G14+H14+I14+J14+K14-L14-O14-P14-Q14-R14-S14)</f>
        <v/>
      </c>
      <c r="U14" s="49">
        <f>IF($A14="","",M14+ROUND(MIN((F14+G14),PARAMETER!$E$22)*PARAMETER!$C$22,0)+ROUND(MIN((F14+G14),PARAMETER!$E$23)*PARAMETER!$C$23,0))</f>
        <v/>
      </c>
      <c r="V14" s="51">
        <f>IF($A14="","",F14+G14+H14+I14+J14+K14-L14+U14)</f>
        <v/>
      </c>
      <c r="W14" s="52">
        <f>IF($A14="","",IF(E14="A",INDEX(TARIF_TER!$C$7:$C$50,MATCH(N14,TARIF_TER!$B$7:$B$50,1)),IF(E14="B",INDEX(TARIF_TER!$F$7:$F$46,MATCH(N14,TARIF_TER!$E$7:$E$46,1)),INDEX(TARIF_TER!$I$7:$I$47,MATCH(N14,TARIF_TER!$H$7:$H$47,1)))))</f>
        <v/>
      </c>
      <c r="X14" s="49">
        <f>IF($A14="","",ROUND(N14*W14,0))</f>
        <v/>
      </c>
    </row>
    <row r="15">
      <c r="A15" s="42">
        <f>IF(KARYAWAN!A15="","",KARYAWAN!A15)</f>
        <v/>
      </c>
      <c r="B15" s="42">
        <f>IF($A15="","",KARYAWAN!B15)</f>
        <v/>
      </c>
      <c r="C15" s="42">
        <f>IF($A15="","",KARYAWAN!E15)</f>
        <v/>
      </c>
      <c r="D15" s="41">
        <f>IF($A15="","",KARYAWAN!J15)</f>
        <v/>
      </c>
      <c r="E15" s="41">
        <f>IF($A15="","",KARYAWAN!T15)</f>
        <v/>
      </c>
      <c r="F15" s="49">
        <f>IF($A15="","",KARYAWAN!$U15*KARYAWAN!K15)</f>
        <v/>
      </c>
      <c r="G15" s="49">
        <f>IF($A15="","",KARYAWAN!$U15*KARYAWAN!L15)</f>
        <v/>
      </c>
      <c r="H15" s="49">
        <f>IF($A15="","",KARYAWAN!$U15*ABSENSI!D15*PARAMETER!$C$11)</f>
        <v/>
      </c>
      <c r="I15" s="49">
        <f>IF($A15="","",KARYAWAN!$U15*ABSENSI!D15*PARAMETER!$C$12)</f>
        <v/>
      </c>
      <c r="J15" s="49">
        <f>IF($A15="","",ROUND(KARYAWAN!$U15*ABSENSI!I15*(F15+G15)/PARAMETER!$C$9*PARAMETER!$C$10,0))</f>
        <v/>
      </c>
      <c r="K15" s="49">
        <f>IF($A15="","",KARYAWAN!$U15*ABSENSI!J15)</f>
        <v/>
      </c>
      <c r="L15" s="49">
        <f>IF($A15="","",ROUND(KARYAWAN!$U15*ABSENSI!H15*F15/PARAMETER!$C$8,0))</f>
        <v/>
      </c>
      <c r="M15" s="49">
        <f>IF($A15="","",ROUND(MIN((F15+G15),PARAMETER!$E$24)*PARAMETER!$C$24+MIN((F15+G15),PARAMETER!$E$25)*PARAMETER!$C$25+MIN((F15+G15),PARAMETER!$E$26)*PARAMETER!$C$26,0))</f>
        <v/>
      </c>
      <c r="N15" s="49">
        <f>IF($A15="","",F15+G15+H15+I15+J15+K15-L15+M15)</f>
        <v/>
      </c>
      <c r="O15" s="49">
        <f>IF($A15="","",X15)</f>
        <v/>
      </c>
      <c r="P15" s="49">
        <f>IF($A15="","",ROUND(MIN((F15+G15),PARAMETER!$E$22)*PARAMETER!$D$22,0))</f>
        <v/>
      </c>
      <c r="Q15" s="49">
        <f>IF($A15="","",ROUND(MIN((F15+G15),PARAMETER!$E$23)*PARAMETER!$D$23,0))</f>
        <v/>
      </c>
      <c r="R15" s="49">
        <f>IF($A15="","",ROUND(MIN((F15+G15),PARAMETER!$E$26)*PARAMETER!$D$26,0))</f>
        <v/>
      </c>
      <c r="S15" s="49">
        <f>IF($A15="","",KARYAWAN!$U15*ABSENSI!K15)</f>
        <v/>
      </c>
      <c r="T15" s="50">
        <f>IF($A15="","",F15+G15+H15+I15+J15+K15-L15-O15-P15-Q15-R15-S15)</f>
        <v/>
      </c>
      <c r="U15" s="49">
        <f>IF($A15="","",M15+ROUND(MIN((F15+G15),PARAMETER!$E$22)*PARAMETER!$C$22,0)+ROUND(MIN((F15+G15),PARAMETER!$E$23)*PARAMETER!$C$23,0))</f>
        <v/>
      </c>
      <c r="V15" s="51">
        <f>IF($A15="","",F15+G15+H15+I15+J15+K15-L15+U15)</f>
        <v/>
      </c>
      <c r="W15" s="52">
        <f>IF($A15="","",IF(E15="A",INDEX(TARIF_TER!$C$7:$C$50,MATCH(N15,TARIF_TER!$B$7:$B$50,1)),IF(E15="B",INDEX(TARIF_TER!$F$7:$F$46,MATCH(N15,TARIF_TER!$E$7:$E$46,1)),INDEX(TARIF_TER!$I$7:$I$47,MATCH(N15,TARIF_TER!$H$7:$H$47,1)))))</f>
        <v/>
      </c>
      <c r="X15" s="49">
        <f>IF($A15="","",ROUND(N15*W15,0))</f>
        <v/>
      </c>
    </row>
    <row r="16">
      <c r="A16" s="42">
        <f>IF(KARYAWAN!A16="","",KARYAWAN!A16)</f>
        <v/>
      </c>
      <c r="B16" s="42">
        <f>IF($A16="","",KARYAWAN!B16)</f>
        <v/>
      </c>
      <c r="C16" s="42">
        <f>IF($A16="","",KARYAWAN!E16)</f>
        <v/>
      </c>
      <c r="D16" s="41">
        <f>IF($A16="","",KARYAWAN!J16)</f>
        <v/>
      </c>
      <c r="E16" s="41">
        <f>IF($A16="","",KARYAWAN!T16)</f>
        <v/>
      </c>
      <c r="F16" s="49">
        <f>IF($A16="","",KARYAWAN!$U16*KARYAWAN!K16)</f>
        <v/>
      </c>
      <c r="G16" s="49">
        <f>IF($A16="","",KARYAWAN!$U16*KARYAWAN!L16)</f>
        <v/>
      </c>
      <c r="H16" s="49">
        <f>IF($A16="","",KARYAWAN!$U16*ABSENSI!D16*PARAMETER!$C$11)</f>
        <v/>
      </c>
      <c r="I16" s="49">
        <f>IF($A16="","",KARYAWAN!$U16*ABSENSI!D16*PARAMETER!$C$12)</f>
        <v/>
      </c>
      <c r="J16" s="49">
        <f>IF($A16="","",ROUND(KARYAWAN!$U16*ABSENSI!I16*(F16+G16)/PARAMETER!$C$9*PARAMETER!$C$10,0))</f>
        <v/>
      </c>
      <c r="K16" s="49">
        <f>IF($A16="","",KARYAWAN!$U16*ABSENSI!J16)</f>
        <v/>
      </c>
      <c r="L16" s="49">
        <f>IF($A16="","",ROUND(KARYAWAN!$U16*ABSENSI!H16*F16/PARAMETER!$C$8,0))</f>
        <v/>
      </c>
      <c r="M16" s="49">
        <f>IF($A16="","",ROUND(MIN((F16+G16),PARAMETER!$E$24)*PARAMETER!$C$24+MIN((F16+G16),PARAMETER!$E$25)*PARAMETER!$C$25+MIN((F16+G16),PARAMETER!$E$26)*PARAMETER!$C$26,0))</f>
        <v/>
      </c>
      <c r="N16" s="49">
        <f>IF($A16="","",F16+G16+H16+I16+J16+K16-L16+M16)</f>
        <v/>
      </c>
      <c r="O16" s="49">
        <f>IF($A16="","",X16)</f>
        <v/>
      </c>
      <c r="P16" s="49">
        <f>IF($A16="","",ROUND(MIN((F16+G16),PARAMETER!$E$22)*PARAMETER!$D$22,0))</f>
        <v/>
      </c>
      <c r="Q16" s="49">
        <f>IF($A16="","",ROUND(MIN((F16+G16),PARAMETER!$E$23)*PARAMETER!$D$23,0))</f>
        <v/>
      </c>
      <c r="R16" s="49">
        <f>IF($A16="","",ROUND(MIN((F16+G16),PARAMETER!$E$26)*PARAMETER!$D$26,0))</f>
        <v/>
      </c>
      <c r="S16" s="49">
        <f>IF($A16="","",KARYAWAN!$U16*ABSENSI!K16)</f>
        <v/>
      </c>
      <c r="T16" s="50">
        <f>IF($A16="","",F16+G16+H16+I16+J16+K16-L16-O16-P16-Q16-R16-S16)</f>
        <v/>
      </c>
      <c r="U16" s="49">
        <f>IF($A16="","",M16+ROUND(MIN((F16+G16),PARAMETER!$E$22)*PARAMETER!$C$22,0)+ROUND(MIN((F16+G16),PARAMETER!$E$23)*PARAMETER!$C$23,0))</f>
        <v/>
      </c>
      <c r="V16" s="51">
        <f>IF($A16="","",F16+G16+H16+I16+J16+K16-L16+U16)</f>
        <v/>
      </c>
      <c r="W16" s="52">
        <f>IF($A16="","",IF(E16="A",INDEX(TARIF_TER!$C$7:$C$50,MATCH(N16,TARIF_TER!$B$7:$B$50,1)),IF(E16="B",INDEX(TARIF_TER!$F$7:$F$46,MATCH(N16,TARIF_TER!$E$7:$E$46,1)),INDEX(TARIF_TER!$I$7:$I$47,MATCH(N16,TARIF_TER!$H$7:$H$47,1)))))</f>
        <v/>
      </c>
      <c r="X16" s="49">
        <f>IF($A16="","",ROUND(N16*W16,0))</f>
        <v/>
      </c>
    </row>
    <row r="17">
      <c r="A17" s="42">
        <f>IF(KARYAWAN!A17="","",KARYAWAN!A17)</f>
        <v/>
      </c>
      <c r="B17" s="42">
        <f>IF($A17="","",KARYAWAN!B17)</f>
        <v/>
      </c>
      <c r="C17" s="42">
        <f>IF($A17="","",KARYAWAN!E17)</f>
        <v/>
      </c>
      <c r="D17" s="41">
        <f>IF($A17="","",KARYAWAN!J17)</f>
        <v/>
      </c>
      <c r="E17" s="41">
        <f>IF($A17="","",KARYAWAN!T17)</f>
        <v/>
      </c>
      <c r="F17" s="49">
        <f>IF($A17="","",KARYAWAN!$U17*KARYAWAN!K17)</f>
        <v/>
      </c>
      <c r="G17" s="49">
        <f>IF($A17="","",KARYAWAN!$U17*KARYAWAN!L17)</f>
        <v/>
      </c>
      <c r="H17" s="49">
        <f>IF($A17="","",KARYAWAN!$U17*ABSENSI!D17*PARAMETER!$C$11)</f>
        <v/>
      </c>
      <c r="I17" s="49">
        <f>IF($A17="","",KARYAWAN!$U17*ABSENSI!D17*PARAMETER!$C$12)</f>
        <v/>
      </c>
      <c r="J17" s="49">
        <f>IF($A17="","",ROUND(KARYAWAN!$U17*ABSENSI!I17*(F17+G17)/PARAMETER!$C$9*PARAMETER!$C$10,0))</f>
        <v/>
      </c>
      <c r="K17" s="49">
        <f>IF($A17="","",KARYAWAN!$U17*ABSENSI!J17)</f>
        <v/>
      </c>
      <c r="L17" s="49">
        <f>IF($A17="","",ROUND(KARYAWAN!$U17*ABSENSI!H17*F17/PARAMETER!$C$8,0))</f>
        <v/>
      </c>
      <c r="M17" s="49">
        <f>IF($A17="","",ROUND(MIN((F17+G17),PARAMETER!$E$24)*PARAMETER!$C$24+MIN((F17+G17),PARAMETER!$E$25)*PARAMETER!$C$25+MIN((F17+G17),PARAMETER!$E$26)*PARAMETER!$C$26,0))</f>
        <v/>
      </c>
      <c r="N17" s="49">
        <f>IF($A17="","",F17+G17+H17+I17+J17+K17-L17+M17)</f>
        <v/>
      </c>
      <c r="O17" s="49">
        <f>IF($A17="","",X17)</f>
        <v/>
      </c>
      <c r="P17" s="49">
        <f>IF($A17="","",ROUND(MIN((F17+G17),PARAMETER!$E$22)*PARAMETER!$D$22,0))</f>
        <v/>
      </c>
      <c r="Q17" s="49">
        <f>IF($A17="","",ROUND(MIN((F17+G17),PARAMETER!$E$23)*PARAMETER!$D$23,0))</f>
        <v/>
      </c>
      <c r="R17" s="49">
        <f>IF($A17="","",ROUND(MIN((F17+G17),PARAMETER!$E$26)*PARAMETER!$D$26,0))</f>
        <v/>
      </c>
      <c r="S17" s="49">
        <f>IF($A17="","",KARYAWAN!$U17*ABSENSI!K17)</f>
        <v/>
      </c>
      <c r="T17" s="50">
        <f>IF($A17="","",F17+G17+H17+I17+J17+K17-L17-O17-P17-Q17-R17-S17)</f>
        <v/>
      </c>
      <c r="U17" s="49">
        <f>IF($A17="","",M17+ROUND(MIN((F17+G17),PARAMETER!$E$22)*PARAMETER!$C$22,0)+ROUND(MIN((F17+G17),PARAMETER!$E$23)*PARAMETER!$C$23,0))</f>
        <v/>
      </c>
      <c r="V17" s="51">
        <f>IF($A17="","",F17+G17+H17+I17+J17+K17-L17+U17)</f>
        <v/>
      </c>
      <c r="W17" s="52">
        <f>IF($A17="","",IF(E17="A",INDEX(TARIF_TER!$C$7:$C$50,MATCH(N17,TARIF_TER!$B$7:$B$50,1)),IF(E17="B",INDEX(TARIF_TER!$F$7:$F$46,MATCH(N17,TARIF_TER!$E$7:$E$46,1)),INDEX(TARIF_TER!$I$7:$I$47,MATCH(N17,TARIF_TER!$H$7:$H$47,1)))))</f>
        <v/>
      </c>
      <c r="X17" s="49">
        <f>IF($A17="","",ROUND(N17*W17,0))</f>
        <v/>
      </c>
    </row>
    <row r="18">
      <c r="A18" s="42">
        <f>IF(KARYAWAN!A18="","",KARYAWAN!A18)</f>
        <v/>
      </c>
      <c r="B18" s="42">
        <f>IF($A18="","",KARYAWAN!B18)</f>
        <v/>
      </c>
      <c r="C18" s="42">
        <f>IF($A18="","",KARYAWAN!E18)</f>
        <v/>
      </c>
      <c r="D18" s="41">
        <f>IF($A18="","",KARYAWAN!J18)</f>
        <v/>
      </c>
      <c r="E18" s="41">
        <f>IF($A18="","",KARYAWAN!T18)</f>
        <v/>
      </c>
      <c r="F18" s="49">
        <f>IF($A18="","",KARYAWAN!$U18*KARYAWAN!K18)</f>
        <v/>
      </c>
      <c r="G18" s="49">
        <f>IF($A18="","",KARYAWAN!$U18*KARYAWAN!L18)</f>
        <v/>
      </c>
      <c r="H18" s="49">
        <f>IF($A18="","",KARYAWAN!$U18*ABSENSI!D18*PARAMETER!$C$11)</f>
        <v/>
      </c>
      <c r="I18" s="49">
        <f>IF($A18="","",KARYAWAN!$U18*ABSENSI!D18*PARAMETER!$C$12)</f>
        <v/>
      </c>
      <c r="J18" s="49">
        <f>IF($A18="","",ROUND(KARYAWAN!$U18*ABSENSI!I18*(F18+G18)/PARAMETER!$C$9*PARAMETER!$C$10,0))</f>
        <v/>
      </c>
      <c r="K18" s="49">
        <f>IF($A18="","",KARYAWAN!$U18*ABSENSI!J18)</f>
        <v/>
      </c>
      <c r="L18" s="49">
        <f>IF($A18="","",ROUND(KARYAWAN!$U18*ABSENSI!H18*F18/PARAMETER!$C$8,0))</f>
        <v/>
      </c>
      <c r="M18" s="49">
        <f>IF($A18="","",ROUND(MIN((F18+G18),PARAMETER!$E$24)*PARAMETER!$C$24+MIN((F18+G18),PARAMETER!$E$25)*PARAMETER!$C$25+MIN((F18+G18),PARAMETER!$E$26)*PARAMETER!$C$26,0))</f>
        <v/>
      </c>
      <c r="N18" s="49">
        <f>IF($A18="","",F18+G18+H18+I18+J18+K18-L18+M18)</f>
        <v/>
      </c>
      <c r="O18" s="49">
        <f>IF($A18="","",X18)</f>
        <v/>
      </c>
      <c r="P18" s="49">
        <f>IF($A18="","",ROUND(MIN((F18+G18),PARAMETER!$E$22)*PARAMETER!$D$22,0))</f>
        <v/>
      </c>
      <c r="Q18" s="49">
        <f>IF($A18="","",ROUND(MIN((F18+G18),PARAMETER!$E$23)*PARAMETER!$D$23,0))</f>
        <v/>
      </c>
      <c r="R18" s="49">
        <f>IF($A18="","",ROUND(MIN((F18+G18),PARAMETER!$E$26)*PARAMETER!$D$26,0))</f>
        <v/>
      </c>
      <c r="S18" s="49">
        <f>IF($A18="","",KARYAWAN!$U18*ABSENSI!K18)</f>
        <v/>
      </c>
      <c r="T18" s="50">
        <f>IF($A18="","",F18+G18+H18+I18+J18+K18-L18-O18-P18-Q18-R18-S18)</f>
        <v/>
      </c>
      <c r="U18" s="49">
        <f>IF($A18="","",M18+ROUND(MIN((F18+G18),PARAMETER!$E$22)*PARAMETER!$C$22,0)+ROUND(MIN((F18+G18),PARAMETER!$E$23)*PARAMETER!$C$23,0))</f>
        <v/>
      </c>
      <c r="V18" s="51">
        <f>IF($A18="","",F18+G18+H18+I18+J18+K18-L18+U18)</f>
        <v/>
      </c>
      <c r="W18" s="52">
        <f>IF($A18="","",IF(E18="A",INDEX(TARIF_TER!$C$7:$C$50,MATCH(N18,TARIF_TER!$B$7:$B$50,1)),IF(E18="B",INDEX(TARIF_TER!$F$7:$F$46,MATCH(N18,TARIF_TER!$E$7:$E$46,1)),INDEX(TARIF_TER!$I$7:$I$47,MATCH(N18,TARIF_TER!$H$7:$H$47,1)))))</f>
        <v/>
      </c>
      <c r="X18" s="49">
        <f>IF($A18="","",ROUND(N18*W18,0))</f>
        <v/>
      </c>
    </row>
    <row r="19">
      <c r="A19" s="42">
        <f>IF(KARYAWAN!A19="","",KARYAWAN!A19)</f>
        <v/>
      </c>
      <c r="B19" s="42">
        <f>IF($A19="","",KARYAWAN!B19)</f>
        <v/>
      </c>
      <c r="C19" s="42">
        <f>IF($A19="","",KARYAWAN!E19)</f>
        <v/>
      </c>
      <c r="D19" s="41">
        <f>IF($A19="","",KARYAWAN!J19)</f>
        <v/>
      </c>
      <c r="E19" s="41">
        <f>IF($A19="","",KARYAWAN!T19)</f>
        <v/>
      </c>
      <c r="F19" s="49">
        <f>IF($A19="","",KARYAWAN!$U19*KARYAWAN!K19)</f>
        <v/>
      </c>
      <c r="G19" s="49">
        <f>IF($A19="","",KARYAWAN!$U19*KARYAWAN!L19)</f>
        <v/>
      </c>
      <c r="H19" s="49">
        <f>IF($A19="","",KARYAWAN!$U19*ABSENSI!D19*PARAMETER!$C$11)</f>
        <v/>
      </c>
      <c r="I19" s="49">
        <f>IF($A19="","",KARYAWAN!$U19*ABSENSI!D19*PARAMETER!$C$12)</f>
        <v/>
      </c>
      <c r="J19" s="49">
        <f>IF($A19="","",ROUND(KARYAWAN!$U19*ABSENSI!I19*(F19+G19)/PARAMETER!$C$9*PARAMETER!$C$10,0))</f>
        <v/>
      </c>
      <c r="K19" s="49">
        <f>IF($A19="","",KARYAWAN!$U19*ABSENSI!J19)</f>
        <v/>
      </c>
      <c r="L19" s="49">
        <f>IF($A19="","",ROUND(KARYAWAN!$U19*ABSENSI!H19*F19/PARAMETER!$C$8,0))</f>
        <v/>
      </c>
      <c r="M19" s="49">
        <f>IF($A19="","",ROUND(MIN((F19+G19),PARAMETER!$E$24)*PARAMETER!$C$24+MIN((F19+G19),PARAMETER!$E$25)*PARAMETER!$C$25+MIN((F19+G19),PARAMETER!$E$26)*PARAMETER!$C$26,0))</f>
        <v/>
      </c>
      <c r="N19" s="49">
        <f>IF($A19="","",F19+G19+H19+I19+J19+K19-L19+M19)</f>
        <v/>
      </c>
      <c r="O19" s="49">
        <f>IF($A19="","",X19)</f>
        <v/>
      </c>
      <c r="P19" s="49">
        <f>IF($A19="","",ROUND(MIN((F19+G19),PARAMETER!$E$22)*PARAMETER!$D$22,0))</f>
        <v/>
      </c>
      <c r="Q19" s="49">
        <f>IF($A19="","",ROUND(MIN((F19+G19),PARAMETER!$E$23)*PARAMETER!$D$23,0))</f>
        <v/>
      </c>
      <c r="R19" s="49">
        <f>IF($A19="","",ROUND(MIN((F19+G19),PARAMETER!$E$26)*PARAMETER!$D$26,0))</f>
        <v/>
      </c>
      <c r="S19" s="49">
        <f>IF($A19="","",KARYAWAN!$U19*ABSENSI!K19)</f>
        <v/>
      </c>
      <c r="T19" s="50">
        <f>IF($A19="","",F19+G19+H19+I19+J19+K19-L19-O19-P19-Q19-R19-S19)</f>
        <v/>
      </c>
      <c r="U19" s="49">
        <f>IF($A19="","",M19+ROUND(MIN((F19+G19),PARAMETER!$E$22)*PARAMETER!$C$22,0)+ROUND(MIN((F19+G19),PARAMETER!$E$23)*PARAMETER!$C$23,0))</f>
        <v/>
      </c>
      <c r="V19" s="51">
        <f>IF($A19="","",F19+G19+H19+I19+J19+K19-L19+U19)</f>
        <v/>
      </c>
      <c r="W19" s="52">
        <f>IF($A19="","",IF(E19="A",INDEX(TARIF_TER!$C$7:$C$50,MATCH(N19,TARIF_TER!$B$7:$B$50,1)),IF(E19="B",INDEX(TARIF_TER!$F$7:$F$46,MATCH(N19,TARIF_TER!$E$7:$E$46,1)),INDEX(TARIF_TER!$I$7:$I$47,MATCH(N19,TARIF_TER!$H$7:$H$47,1)))))</f>
        <v/>
      </c>
      <c r="X19" s="49">
        <f>IF($A19="","",ROUND(N19*W19,0))</f>
        <v/>
      </c>
    </row>
    <row r="20">
      <c r="A20" s="42">
        <f>IF(KARYAWAN!A20="","",KARYAWAN!A20)</f>
        <v/>
      </c>
      <c r="B20" s="42">
        <f>IF($A20="","",KARYAWAN!B20)</f>
        <v/>
      </c>
      <c r="C20" s="42">
        <f>IF($A20="","",KARYAWAN!E20)</f>
        <v/>
      </c>
      <c r="D20" s="41">
        <f>IF($A20="","",KARYAWAN!J20)</f>
        <v/>
      </c>
      <c r="E20" s="41">
        <f>IF($A20="","",KARYAWAN!T20)</f>
        <v/>
      </c>
      <c r="F20" s="49">
        <f>IF($A20="","",KARYAWAN!$U20*KARYAWAN!K20)</f>
        <v/>
      </c>
      <c r="G20" s="49">
        <f>IF($A20="","",KARYAWAN!$U20*KARYAWAN!L20)</f>
        <v/>
      </c>
      <c r="H20" s="49">
        <f>IF($A20="","",KARYAWAN!$U20*ABSENSI!D20*PARAMETER!$C$11)</f>
        <v/>
      </c>
      <c r="I20" s="49">
        <f>IF($A20="","",KARYAWAN!$U20*ABSENSI!D20*PARAMETER!$C$12)</f>
        <v/>
      </c>
      <c r="J20" s="49">
        <f>IF($A20="","",ROUND(KARYAWAN!$U20*ABSENSI!I20*(F20+G20)/PARAMETER!$C$9*PARAMETER!$C$10,0))</f>
        <v/>
      </c>
      <c r="K20" s="49">
        <f>IF($A20="","",KARYAWAN!$U20*ABSENSI!J20)</f>
        <v/>
      </c>
      <c r="L20" s="49">
        <f>IF($A20="","",ROUND(KARYAWAN!$U20*ABSENSI!H20*F20/PARAMETER!$C$8,0))</f>
        <v/>
      </c>
      <c r="M20" s="49">
        <f>IF($A20="","",ROUND(MIN((F20+G20),PARAMETER!$E$24)*PARAMETER!$C$24+MIN((F20+G20),PARAMETER!$E$25)*PARAMETER!$C$25+MIN((F20+G20),PARAMETER!$E$26)*PARAMETER!$C$26,0))</f>
        <v/>
      </c>
      <c r="N20" s="49">
        <f>IF($A20="","",F20+G20+H20+I20+J20+K20-L20+M20)</f>
        <v/>
      </c>
      <c r="O20" s="49">
        <f>IF($A20="","",X20)</f>
        <v/>
      </c>
      <c r="P20" s="49">
        <f>IF($A20="","",ROUND(MIN((F20+G20),PARAMETER!$E$22)*PARAMETER!$D$22,0))</f>
        <v/>
      </c>
      <c r="Q20" s="49">
        <f>IF($A20="","",ROUND(MIN((F20+G20),PARAMETER!$E$23)*PARAMETER!$D$23,0))</f>
        <v/>
      </c>
      <c r="R20" s="49">
        <f>IF($A20="","",ROUND(MIN((F20+G20),PARAMETER!$E$26)*PARAMETER!$D$26,0))</f>
        <v/>
      </c>
      <c r="S20" s="49">
        <f>IF($A20="","",KARYAWAN!$U20*ABSENSI!K20)</f>
        <v/>
      </c>
      <c r="T20" s="50">
        <f>IF($A20="","",F20+G20+H20+I20+J20+K20-L20-O20-P20-Q20-R20-S20)</f>
        <v/>
      </c>
      <c r="U20" s="49">
        <f>IF($A20="","",M20+ROUND(MIN((F20+G20),PARAMETER!$E$22)*PARAMETER!$C$22,0)+ROUND(MIN((F20+G20),PARAMETER!$E$23)*PARAMETER!$C$23,0))</f>
        <v/>
      </c>
      <c r="V20" s="51">
        <f>IF($A20="","",F20+G20+H20+I20+J20+K20-L20+U20)</f>
        <v/>
      </c>
      <c r="W20" s="52">
        <f>IF($A20="","",IF(E20="A",INDEX(TARIF_TER!$C$7:$C$50,MATCH(N20,TARIF_TER!$B$7:$B$50,1)),IF(E20="B",INDEX(TARIF_TER!$F$7:$F$46,MATCH(N20,TARIF_TER!$E$7:$E$46,1)),INDEX(TARIF_TER!$I$7:$I$47,MATCH(N20,TARIF_TER!$H$7:$H$47,1)))))</f>
        <v/>
      </c>
      <c r="X20" s="49">
        <f>IF($A20="","",ROUND(N20*W20,0))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3:X3"/>
    <mergeCell ref="A4:E4"/>
  </mergeCells>
  <conditionalFormatting sqref="T6:T20">
    <cfRule type="expression" priority="1" dxfId="0">
      <formula>AND(ISNUMBER(T6),T6&lt;0)</formula>
    </cfRule>
  </conditionalFormatting>
  <conditionalFormatting sqref="V6:V20">
    <cfRule type="expression" priority="2" dxfId="0">
      <formula>AND(ISNUMBER(V6),V6&lt;0)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 ht="24" customHeight="1">
      <c r="A1" s="13" t="inlineStr">
        <is>
          <t>Ringkasan SDM</t>
        </is>
      </c>
    </row>
    <row r="3">
      <c r="A3" s="15" t="inlineStr">
        <is>
          <t>VERSI DEMO: kapasitas &amp; fitur dibatasi, data simulasi. Versi lengkap: WhatsApp 089623291732</t>
        </is>
      </c>
    </row>
    <row r="5" ht="34" customHeight="1">
      <c r="A5" s="27" t="inlineStr">
        <is>
          <t>Departemen</t>
        </is>
      </c>
      <c r="B5" s="27" t="inlineStr">
        <is>
          <t>Headcount aktif</t>
        </is>
      </c>
      <c r="C5" s="27" t="inlineStr">
        <is>
          <t>Total biaya perusahaan (Rp)</t>
        </is>
      </c>
      <c r="D5" s="27" t="inlineStr">
        <is>
          <t>Gaji bersih (Rp)</t>
        </is>
      </c>
      <c r="E5" s="27" t="inlineStr">
        <is>
          <t>PPh 21 (Rp)</t>
        </is>
      </c>
    </row>
    <row r="6">
      <c r="A6" s="42">
        <f>IF(PARAMETER!B42="","",PARAMETER!B42)</f>
        <v/>
      </c>
      <c r="B6" s="39">
        <f>IF($A6="","",COUNTIFS(KARYAWAN!$E$6:$E$20,$A6,KARYAWAN!$U$6:$U$20,1))</f>
        <v/>
      </c>
      <c r="C6" s="49">
        <f>IF($A6="","",SUMIFS(PAYROLL!$V$6:$V$20,PAYROLL!$C$6:$C$20,$A6))</f>
        <v/>
      </c>
      <c r="D6" s="49">
        <f>IF($A6="","",SUMIFS(PAYROLL!$T$6:$T$20,PAYROLL!$C$6:$C$20,$A6))</f>
        <v/>
      </c>
      <c r="E6" s="49">
        <f>IF($A6="","",SUMIFS(PAYROLL!$O$6:$O$20,PAYROLL!$C$6:$C$20,$A6))</f>
        <v/>
      </c>
    </row>
    <row r="7">
      <c r="A7" s="42">
        <f>IF(PARAMETER!B43="","",PARAMETER!B43)</f>
        <v/>
      </c>
      <c r="B7" s="39">
        <f>IF($A7="","",COUNTIFS(KARYAWAN!$E$6:$E$20,$A7,KARYAWAN!$U$6:$U$20,1))</f>
        <v/>
      </c>
      <c r="C7" s="49">
        <f>IF($A7="","",SUMIFS(PAYROLL!$V$6:$V$20,PAYROLL!$C$6:$C$20,$A7))</f>
        <v/>
      </c>
      <c r="D7" s="49">
        <f>IF($A7="","",SUMIFS(PAYROLL!$T$6:$T$20,PAYROLL!$C$6:$C$20,$A7))</f>
        <v/>
      </c>
      <c r="E7" s="49">
        <f>IF($A7="","",SUMIFS(PAYROLL!$O$6:$O$20,PAYROLL!$C$6:$C$20,$A7))</f>
        <v/>
      </c>
    </row>
    <row r="8">
      <c r="A8" s="42">
        <f>IF(PARAMETER!B44="","",PARAMETER!B44)</f>
        <v/>
      </c>
      <c r="B8" s="39">
        <f>IF($A8="","",COUNTIFS(KARYAWAN!$E$6:$E$20,$A8,KARYAWAN!$U$6:$U$20,1))</f>
        <v/>
      </c>
      <c r="C8" s="49">
        <f>IF($A8="","",SUMIFS(PAYROLL!$V$6:$V$20,PAYROLL!$C$6:$C$20,$A8))</f>
        <v/>
      </c>
      <c r="D8" s="49">
        <f>IF($A8="","",SUMIFS(PAYROLL!$T$6:$T$20,PAYROLL!$C$6:$C$20,$A8))</f>
        <v/>
      </c>
      <c r="E8" s="49">
        <f>IF($A8="","",SUMIFS(PAYROLL!$O$6:$O$20,PAYROLL!$C$6:$C$20,$A8))</f>
        <v/>
      </c>
    </row>
    <row r="9">
      <c r="A9" s="42">
        <f>IF(PARAMETER!B45="","",PARAMETER!B45)</f>
        <v/>
      </c>
      <c r="B9" s="39">
        <f>IF($A9="","",COUNTIFS(KARYAWAN!$E$6:$E$20,$A9,KARYAWAN!$U$6:$U$20,1))</f>
        <v/>
      </c>
      <c r="C9" s="49">
        <f>IF($A9="","",SUMIFS(PAYROLL!$V$6:$V$20,PAYROLL!$C$6:$C$20,$A9))</f>
        <v/>
      </c>
      <c r="D9" s="49">
        <f>IF($A9="","",SUMIFS(PAYROLL!$T$6:$T$20,PAYROLL!$C$6:$C$20,$A9))</f>
        <v/>
      </c>
      <c r="E9" s="49">
        <f>IF($A9="","",SUMIFS(PAYROLL!$O$6:$O$20,PAYROLL!$C$6:$C$20,$A9))</f>
        <v/>
      </c>
    </row>
    <row r="10">
      <c r="A10" s="42">
        <f>IF(PARAMETER!B46="","",PARAMETER!B46)</f>
        <v/>
      </c>
      <c r="B10" s="39">
        <f>IF($A10="","",COUNTIFS(KARYAWAN!$E$6:$E$20,$A10,KARYAWAN!$U$6:$U$20,1))</f>
        <v/>
      </c>
      <c r="C10" s="49">
        <f>IF($A10="","",SUMIFS(PAYROLL!$V$6:$V$20,PAYROLL!$C$6:$C$20,$A10))</f>
        <v/>
      </c>
      <c r="D10" s="49">
        <f>IF($A10="","",SUMIFS(PAYROLL!$T$6:$T$20,PAYROLL!$C$6:$C$20,$A10))</f>
        <v/>
      </c>
      <c r="E10" s="49">
        <f>IF($A10="","",SUMIFS(PAYROLL!$O$6:$O$20,PAYROLL!$C$6:$C$20,$A10))</f>
        <v/>
      </c>
    </row>
    <row r="11">
      <c r="A11" s="42">
        <f>IF(PARAMETER!B47="","",PARAMETER!B47)</f>
        <v/>
      </c>
      <c r="B11" s="39">
        <f>IF($A11="","",COUNTIFS(KARYAWAN!$E$6:$E$20,$A11,KARYAWAN!$U$6:$U$20,1))</f>
        <v/>
      </c>
      <c r="C11" s="49">
        <f>IF($A11="","",SUMIFS(PAYROLL!$V$6:$V$20,PAYROLL!$C$6:$C$20,$A11))</f>
        <v/>
      </c>
      <c r="D11" s="49">
        <f>IF($A11="","",SUMIFS(PAYROLL!$T$6:$T$20,PAYROLL!$C$6:$C$20,$A11))</f>
        <v/>
      </c>
      <c r="E11" s="49">
        <f>IF($A11="","",SUMIFS(PAYROLL!$O$6:$O$20,PAYROLL!$C$6:$C$20,$A11))</f>
        <v/>
      </c>
    </row>
    <row r="12">
      <c r="A12" s="42">
        <f>IF(PARAMETER!B48="","",PARAMETER!B48)</f>
        <v/>
      </c>
      <c r="B12" s="39">
        <f>IF($A12="","",COUNTIFS(KARYAWAN!$E$6:$E$20,$A12,KARYAWAN!$U$6:$U$20,1))</f>
        <v/>
      </c>
      <c r="C12" s="49">
        <f>IF($A12="","",SUMIFS(PAYROLL!$V$6:$V$20,PAYROLL!$C$6:$C$20,$A12))</f>
        <v/>
      </c>
      <c r="D12" s="49">
        <f>IF($A12="","",SUMIFS(PAYROLL!$T$6:$T$20,PAYROLL!$C$6:$C$20,$A12))</f>
        <v/>
      </c>
      <c r="E12" s="49">
        <f>IF($A12="","",SUMIFS(PAYROLL!$O$6:$O$20,PAYROLL!$C$6:$C$20,$A12))</f>
        <v/>
      </c>
    </row>
    <row r="13">
      <c r="A13" s="42">
        <f>IF(PARAMETER!B49="","",PARAMETER!B49)</f>
        <v/>
      </c>
      <c r="B13" s="39">
        <f>IF($A13="","",COUNTIFS(KARYAWAN!$E$6:$E$20,$A13,KARYAWAN!$U$6:$U$20,1))</f>
        <v/>
      </c>
      <c r="C13" s="49">
        <f>IF($A13="","",SUMIFS(PAYROLL!$V$6:$V$20,PAYROLL!$C$6:$C$20,$A13))</f>
        <v/>
      </c>
      <c r="D13" s="49">
        <f>IF($A13="","",SUMIFS(PAYROLL!$T$6:$T$20,PAYROLL!$C$6:$C$20,$A13))</f>
        <v/>
      </c>
      <c r="E13" s="49">
        <f>IF($A13="","",SUMIFS(PAYROLL!$O$6:$O$20,PAYROLL!$C$6:$C$20,$A13))</f>
        <v/>
      </c>
    </row>
    <row r="14">
      <c r="A14" s="44" t="inlineStr">
        <is>
          <t>TOTAL</t>
        </is>
      </c>
      <c r="B14" s="53">
        <f>SUM(B6:B13)</f>
        <v/>
      </c>
      <c r="C14" s="47">
        <f>SUM(C6:C13)</f>
        <v/>
      </c>
      <c r="D14" s="47">
        <f>SUM(D6:D13)</f>
        <v/>
      </c>
      <c r="E14" s="47">
        <f>SUM(E6:E13)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54" t="inlineStr">
        <is>
          <t>Fitur Versi Lengkap</t>
        </is>
      </c>
    </row>
    <row r="3" ht="32" customHeight="1">
      <c r="B3" s="55" t="inlineStr">
        <is>
          <t>SLIP GAJI</t>
        </is>
      </c>
    </row>
    <row r="5" ht="48" customHeight="1">
      <c r="B5" s="56" t="inlineStr">
        <is>
          <t>Slip gaji siap cetak: pilih ID karyawan, rincian pendapatan, potongan, dan gaji bersih.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57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54" t="inlineStr">
        <is>
          <t>Fitur Versi Lengkap</t>
        </is>
      </c>
    </row>
    <row r="3" ht="32" customHeight="1">
      <c r="B3" s="55" t="inlineStr">
        <is>
          <t>CUTI</t>
        </is>
      </c>
    </row>
    <row r="5" ht="48" customHeight="1">
      <c r="B5" s="56" t="inlineStr">
        <is>
          <t>Saldo cuti tahunan per karyawan (hak, terpakai, menunggu, sisa, status).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57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54" t="inlineStr">
        <is>
          <t>Fitur Versi Lengkap</t>
        </is>
      </c>
    </row>
    <row r="3" ht="32" customHeight="1">
      <c r="B3" s="55" t="inlineStr">
        <is>
          <t>LOG CUTI</t>
        </is>
      </c>
    </row>
    <row r="5" ht="48" customHeight="1">
      <c r="B5" s="56" t="inlineStr">
        <is>
          <t>Catatan pengajuan cuti (kapasitas 300): hari kerja dihitung otomatis dengan hari libur.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57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54" t="inlineStr">
        <is>
          <t>Fitur Versi Lengkap</t>
        </is>
      </c>
    </row>
    <row r="3" ht="32" customHeight="1">
      <c r="B3" s="55" t="inlineStr">
        <is>
          <t>LOWONGAN</t>
        </is>
      </c>
    </row>
    <row r="5" ht="48" customHeight="1">
      <c r="B5" s="56" t="inlineStr">
        <is>
          <t>Daftar lowongan: pelamar, dalam proses, diterima, sisa kebutuhan, hari terbuka.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57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54" t="inlineStr">
        <is>
          <t>Fitur Versi Lengkap</t>
        </is>
      </c>
    </row>
    <row r="3" ht="32" customHeight="1">
      <c r="B3" s="55" t="inlineStr">
        <is>
          <t>KANDIDAT</t>
        </is>
      </c>
    </row>
    <row r="5" ht="48" customHeight="1">
      <c r="B5" s="56" t="inlineStr">
        <is>
          <t>Pelacak kandidat (kapasitas 400) per tahap: lamaran sampai diterima.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57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54" t="inlineStr">
        <is>
          <t>Fitur Versi Lengkap</t>
        </is>
      </c>
    </row>
    <row r="3" ht="32" customHeight="1">
      <c r="B3" s="55" t="inlineStr">
        <is>
          <t>KINERJA</t>
        </is>
      </c>
    </row>
    <row r="5" ht="48" customHeight="1">
      <c r="B5" s="56" t="inlineStr">
        <is>
          <t>Penilaian KPI berbobot, rating, usulan bonus dan kenaikan gaji.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57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54" t="inlineStr">
        <is>
          <t>Fitur Versi Lengkap</t>
        </is>
      </c>
    </row>
    <row r="3" ht="32" customHeight="1">
      <c r="B3" s="55" t="inlineStr">
        <is>
          <t>PELATIHAN</t>
        </is>
      </c>
    </row>
    <row r="5" ht="48" customHeight="1">
      <c r="B5" s="56" t="inlineStr">
        <is>
          <t>Log pelatihan (kapasitas 300): jam dan biaya per karyawan dan departemen.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57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54" t="inlineStr">
        <is>
          <t>Fitur Versi Lengkap</t>
        </is>
      </c>
    </row>
    <row r="3" ht="32" customHeight="1">
      <c r="B3" s="55" t="inlineStr">
        <is>
          <t>DASHBOARD</t>
        </is>
      </c>
    </row>
    <row r="5" ht="48" customHeight="1">
      <c r="B5" s="56" t="inlineStr">
        <is>
          <t>Headcount, komposisi, turnover, biaya payroll, kinerja, pelatihan, rekrutmen, dalam angka dan grafik.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57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HRMS Enterprise (Demo)</dc:title>
  <dc:subject xmlns:dc="http://purl.org/dc/elements/1.1/">Lisensi: demo</dc:subject>
  <dcterms:created xmlns:dcterms="http://purl.org/dc/terms/" xmlns:xsi="http://www.w3.org/2001/XMLSchema-instance" xsi:type="dcterms:W3CDTF">2026-10-29T23:17:46Z</dcterms:created>
  <dcterms:modified xmlns:dcterms="http://purl.org/dc/terms/" xmlns:xsi="http://www.w3.org/2001/XMLSchema-instance" xsi:type="dcterms:W3CDTF">2026-10-29T23:17:46Z</dcterms:modified>
</cp:coreProperties>
</file>