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MASTER" sheetId="3" state="visible" r:id="rId3"/>
    <sheet xmlns:r="http://schemas.openxmlformats.org/officeDocument/2006/relationships" name="PIUTANG" sheetId="4" state="visible" r:id="rId4"/>
    <sheet xmlns:r="http://schemas.openxmlformats.org/officeDocument/2006/relationships" name="AGING_PIUTANG" sheetId="5" state="visible" r:id="rId5"/>
    <sheet xmlns:r="http://schemas.openxmlformats.org/officeDocument/2006/relationships" name="FULL-HUTANG" sheetId="6" state="visible" r:id="rId6"/>
    <sheet xmlns:r="http://schemas.openxmlformats.org/officeDocument/2006/relationships" name="FULL-AGING_HUTANG" sheetId="7" state="visible" r:id="rId7"/>
    <sheet xmlns:r="http://schemas.openxmlformats.org/officeDocument/2006/relationships" name="FULL-DASHBOARD" sheetId="8" state="visible" r:id="rId8"/>
  </sheets>
  <definedNames>
    <definedName name="_xlnm._FilterDatabase" localSheetId="3" hidden="1">'PIUTANG'!$A$5:$J$65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#,##0;(#,##0);&quot;-&quot;"/>
    <numFmt numFmtId="167" formatCode="0;-0;0"/>
    <numFmt numFmtId="168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i val="1"/>
      <color rgb="00000000"/>
      <sz val="10"/>
    </font>
    <font>
      <name val="Arial"/>
      <b val="1"/>
      <color rgb="00C0392B"/>
      <sz val="11"/>
    </font>
    <font>
      <name val="Arial"/>
      <b val="1"/>
      <color rgb="000B1A30"/>
      <sz val="20"/>
    </font>
    <font>
      <name val="Arial"/>
      <color rgb="0033445C"/>
      <sz val="11"/>
    </font>
    <font>
      <name val="Arial"/>
      <b val="1"/>
      <color rgb="001E8449"/>
      <sz val="10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5" fontId="9" fillId="3" borderId="1" applyProtection="1" pivotButton="0" quotePrefix="0" xfId="0">
      <protection locked="0" hidden="0"/>
    </xf>
    <xf numFmtId="1" fontId="9" fillId="3" borderId="1" applyProtection="1" pivotButton="0" quotePrefix="0" xfId="0">
      <protection locked="0" hidden="0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9" fillId="0" borderId="1" applyProtection="1" pivotButton="0" quotePrefix="0" xfId="0">
      <protection locked="0" hidden="0"/>
    </xf>
    <xf numFmtId="165" fontId="9" fillId="0" borderId="1" applyProtection="1" pivotButton="0" quotePrefix="0" xfId="0">
      <protection locked="0" hidden="0"/>
    </xf>
    <xf numFmtId="1" fontId="9" fillId="0" borderId="1" applyAlignment="1" applyProtection="1" pivotButton="0" quotePrefix="0" xfId="0">
      <alignment horizontal="center" vertical="center"/>
      <protection locked="0" hidden="0"/>
    </xf>
    <xf numFmtId="165" fontId="8" fillId="0" borderId="1" pivotButton="0" quotePrefix="0" xfId="0"/>
    <xf numFmtId="166" fontId="9" fillId="0" borderId="1" applyProtection="1" pivotButton="0" quotePrefix="0" xfId="0">
      <protection locked="0" hidden="0"/>
    </xf>
    <xf numFmtId="166" fontId="8" fillId="0" borderId="1" pivotButton="0" quotePrefix="0" xfId="0"/>
    <xf numFmtId="167" fontId="8" fillId="0" borderId="1" applyAlignment="1" pivotButton="0" quotePrefix="0" xfId="0">
      <alignment horizontal="center" vertical="center"/>
    </xf>
    <xf numFmtId="166" fontId="7" fillId="0" borderId="1" pivotButton="0" quotePrefix="0" xfId="0"/>
    <xf numFmtId="168" fontId="8" fillId="0" borderId="1" pivotButton="0" quotePrefix="0" xfId="0"/>
    <xf numFmtId="0" fontId="7" fillId="6" borderId="1" pivotButton="0" quotePrefix="0" xfId="0"/>
    <xf numFmtId="166" fontId="7" fillId="6" borderId="1" pivotButton="0" quotePrefix="0" xfId="0"/>
    <xf numFmtId="168" fontId="7" fillId="6" borderId="1" pivotButton="0" quotePrefix="0" xfId="0"/>
    <xf numFmtId="0" fontId="13" fillId="0" borderId="1" pivotButton="0" quotePrefix="0" xfId="0"/>
    <xf numFmtId="168" fontId="13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color rgb="001E8449"/>
        <sz val="10"/>
      </font>
    </dxf>
    <dxf>
      <font>
        <name val="Arial"/>
        <b val="1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Pelanggan per Kelompok Umur (Rp juta)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'AGING_PIUTANG'!$B$5:$F$5</f>
            </numRef>
          </cat>
          <val>
            <numRef>
              <f>'AGING_PIUTANG'!$B$14:$F$14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Aging Piutang &amp; Hutang</t>
        </is>
      </c>
    </row>
    <row r="3" ht="44" customHeight="1">
      <c r="B3" s="3" t="inlineStr">
        <is>
          <t>Pantau umur piutang dan utang, temukan faktur yang lewat jatuh tempo, dan siapkan pesan penagihan dalam sekali buka.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tanggal laporan dan batas kelompok umur di PARAMETER.</t>
        </is>
      </c>
    </row>
    <row r="9" ht="16" customHeight="1">
      <c r="B9" s="8" t="inlineStr">
        <is>
          <t>Langkah 2</t>
        </is>
      </c>
      <c r="C9" s="9" t="inlineStr">
        <is>
          <t>Daftarkan pelanggan (dan pemasok) di MASTER.</t>
        </is>
      </c>
    </row>
    <row r="10" ht="16" customHeight="1">
      <c r="B10" s="8" t="inlineStr">
        <is>
          <t>Langkah 3</t>
        </is>
      </c>
      <c r="C10" s="9" t="inlineStr">
        <is>
          <t>Catat faktur di PIUTANG: nomor, pihak, tanggal, termin, nilai, dibayar.</t>
        </is>
      </c>
    </row>
    <row r="11" ht="16" customHeight="1">
      <c r="B11" s="8" t="inlineStr">
        <is>
          <t>Langkah 4</t>
        </is>
      </c>
      <c r="C11" s="9" t="inlineStr">
        <is>
          <t>Baca matriks aging di AGING_PIUTANG.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Tanggal laporan dan batas kelompok umur (30/60/90 hari, dapat diubah).</t>
        </is>
      </c>
    </row>
    <row r="15" ht="16" customHeight="1">
      <c r="B15" s="8" t="inlineStr">
        <is>
          <t>MASTER</t>
        </is>
      </c>
      <c r="C15" s="9" t="inlineStr">
        <is>
          <t>Daftar pelanggan yang tampil pada laporan aging.</t>
        </is>
      </c>
    </row>
    <row r="16" ht="16" customHeight="1">
      <c r="B16" s="8" t="inlineStr">
        <is>
          <t>PIUTANG</t>
        </is>
      </c>
      <c r="C16" s="9" t="inlineStr">
        <is>
          <t>Daftar faktur piutang (kapasitas 60). Sisa, hari lewat tempo, dan kelompok umur otomatis.</t>
        </is>
      </c>
    </row>
    <row r="17" ht="16" customHeight="1">
      <c r="B17" s="8" t="inlineStr">
        <is>
          <t>AGING_PIUTANG</t>
        </is>
      </c>
      <c r="C17" s="9" t="inlineStr">
        <is>
          <t>Matriks pelanggan × kelompok umur lengkap dengan total, persentase, dan grafik.</t>
        </is>
      </c>
    </row>
    <row r="19">
      <c r="B19" s="6" t="inlineStr">
        <is>
          <t>Legenda warna</t>
        </is>
      </c>
      <c r="C19" s="7" t="n"/>
    </row>
    <row r="20">
      <c r="B20" s="10" t="inlineStr">
        <is>
          <t>Teks biru</t>
        </is>
      </c>
      <c r="C20" s="11" t="inlineStr">
        <is>
          <t>Sel input: boleh Anda ubah (tidak terkunci).</t>
        </is>
      </c>
    </row>
    <row r="21">
      <c r="B21" s="12" t="inlineStr">
        <is>
          <t>Sel kuning</t>
        </is>
      </c>
      <c r="C21" s="11" t="inlineStr">
        <is>
          <t>Parameter kunci: periksa terlebih dulu.</t>
        </is>
      </c>
    </row>
    <row r="22">
      <c r="B22" s="11" t="inlineStr">
        <is>
          <t>Teks hitam</t>
        </is>
      </c>
      <c r="C22" s="11" t="inlineStr">
        <is>
          <t>Rumus otomatis (terkunci; Review &gt; Unprotect Sheet tanpa kata sandi bila perlu).</t>
        </is>
      </c>
    </row>
    <row r="24">
      <c r="B24" s="6" t="inlineStr">
        <is>
          <t>Catatan</t>
        </is>
      </c>
      <c r="C24" s="7" t="n"/>
    </row>
    <row r="25" ht="16" customHeight="1">
      <c r="C25" s="9" t="inlineStr">
        <is>
          <t>• Seluruh data adalah simulasi buatan, bukan data perusahaan nyata.</t>
        </is>
      </c>
    </row>
    <row r="26" ht="30" customHeight="1">
      <c r="C26" s="9" t="inlineStr">
        <is>
          <t>• Hasil perhitungan adalah alat bantu; verifikasi dengan akuntan/konsultan sebelum dipakai untuk keputusan atau pelaporan resmi.</t>
        </is>
      </c>
    </row>
    <row r="27" ht="16" customHeight="1">
      <c r="C27" s="9" t="inlineStr">
        <is>
          <t>• Nilai dibayar mencakup pembayaran sebagian. Faktur lunas otomatis keluar dari aging.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4" customWidth="1" min="4" max="4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Tanggal laporan</t>
        </is>
      </c>
      <c r="C5" s="17" t="n">
        <v>46326</v>
      </c>
      <c r="D5" s="14" t="inlineStr">
        <is>
          <t>Umur dihitung terhadap tanggal ini</t>
        </is>
      </c>
    </row>
    <row r="6">
      <c r="B6" s="16" t="inlineStr">
        <is>
          <t>Batas kelompok 1 (hari)</t>
        </is>
      </c>
      <c r="C6" s="18" t="n">
        <v>30</v>
      </c>
      <c r="D6" s="14" t="inlineStr"/>
    </row>
    <row r="7">
      <c r="B7" s="16" t="inlineStr">
        <is>
          <t>Batas kelompok 2 (hari)</t>
        </is>
      </c>
      <c r="C7" s="18" t="n">
        <v>60</v>
      </c>
      <c r="D7" s="14" t="inlineStr"/>
    </row>
    <row r="8">
      <c r="B8" s="16" t="inlineStr">
        <is>
          <t>Batas kelompok 3 (hari)</t>
        </is>
      </c>
      <c r="C8" s="18" t="n">
        <v>90</v>
      </c>
      <c r="D8" s="14" t="inlineStr">
        <is>
          <t>Lewat batas ini = kelompok terakhir</t>
        </is>
      </c>
    </row>
    <row r="10">
      <c r="B10" s="6" t="inlineStr">
        <is>
          <t>Label kelompok umur (otomatis)</t>
        </is>
      </c>
      <c r="C10" s="7" t="n"/>
    </row>
    <row r="11">
      <c r="B11" s="19" t="inlineStr">
        <is>
          <t>Belum jatuh tempo</t>
        </is>
      </c>
      <c r="C11" s="20">
        <f>"Belum JT"</f>
        <v/>
      </c>
    </row>
    <row r="12">
      <c r="B12" s="19" t="inlineStr">
        <is>
          <t>Kelompok 1</t>
        </is>
      </c>
      <c r="C12" s="20">
        <f>"1-"&amp;C6&amp;" hari"</f>
        <v/>
      </c>
    </row>
    <row r="13">
      <c r="B13" s="19" t="inlineStr">
        <is>
          <t>Kelompok 2</t>
        </is>
      </c>
      <c r="C13" s="20">
        <f>(C6+1)&amp;"-"&amp;C7&amp;" hari"</f>
        <v/>
      </c>
    </row>
    <row r="14">
      <c r="B14" s="19" t="inlineStr">
        <is>
          <t>Kelompok 3</t>
        </is>
      </c>
      <c r="C14" s="20">
        <f>(C7+1)&amp;"-"&amp;C8&amp;" hari"</f>
        <v/>
      </c>
    </row>
    <row r="15">
      <c r="B15" s="19" t="inlineStr">
        <is>
          <t>Kelompok 4</t>
        </is>
      </c>
      <c r="C15" s="20">
        <f>"Lewat "&amp;C8&amp;" hari"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dataValidations count="1">
    <dataValidation sqref="C6:C8" showDropDown="0" showInputMessage="0" showErrorMessage="1" allowBlank="1" error="Isi angka antara 1 dan 365" type="whole" operator="between">
      <formula1>1</formula1>
      <formula2>365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32" customWidth="1" min="3" max="3"/>
  </cols>
  <sheetData>
    <row r="1" ht="24" customHeight="1">
      <c r="A1" s="13" t="inlineStr">
        <is>
          <t>Master Pihak</t>
        </is>
      </c>
    </row>
    <row r="2">
      <c r="A2" s="14" t="inlineStr">
        <is>
          <t>Nama harus sama persis dengan yang dipakai pada daftar faktur</t>
        </is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1" t="inlineStr">
        <is>
          <t>Pelanggan</t>
        </is>
      </c>
    </row>
    <row r="6">
      <c r="A6" s="22" t="inlineStr">
        <is>
          <t>PT Contoh Alfa</t>
        </is>
      </c>
    </row>
    <row r="7">
      <c r="A7" s="22" t="inlineStr">
        <is>
          <t>CV Contoh Beta</t>
        </is>
      </c>
    </row>
    <row r="8">
      <c r="A8" s="22" t="inlineStr">
        <is>
          <t>UD Contoh Gamma</t>
        </is>
      </c>
    </row>
    <row r="9">
      <c r="A9" s="22" t="inlineStr">
        <is>
          <t>PT Contoh Delta</t>
        </is>
      </c>
    </row>
    <row r="10">
      <c r="A10" s="22" t="inlineStr">
        <is>
          <t>CV Contoh Epsilon</t>
        </is>
      </c>
    </row>
    <row r="11">
      <c r="A11" s="22" t="inlineStr">
        <is>
          <t>UD Contoh Zeta</t>
        </is>
      </c>
    </row>
    <row r="12">
      <c r="A12" s="22" t="inlineStr">
        <is>
          <t>PT Contoh Eta</t>
        </is>
      </c>
    </row>
    <row r="13">
      <c r="A13" s="22" t="inlineStr">
        <is>
          <t>CV Contoh Theta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3" customWidth="1" min="3" max="3"/>
    <col width="10" customWidth="1" min="4" max="4"/>
    <col width="13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 ht="24" customHeight="1">
      <c r="A1" s="13" t="inlineStr">
        <is>
          <t>Daftar Faktur Pelanggan</t>
        </is>
      </c>
    </row>
    <row r="2">
      <c r="A2" s="14" t="inlineStr">
        <is>
          <t>Kapasitas 60 faktur. Isi sel berwarna biru.</t>
        </is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1" t="inlineStr">
        <is>
          <t>No. Faktur</t>
        </is>
      </c>
      <c r="B5" s="21" t="inlineStr">
        <is>
          <t>Pelanggan</t>
        </is>
      </c>
      <c r="C5" s="21" t="inlineStr">
        <is>
          <t>Tgl Faktur</t>
        </is>
      </c>
      <c r="D5" s="21" t="inlineStr">
        <is>
          <t>Termin (hari)</t>
        </is>
      </c>
      <c r="E5" s="21" t="inlineStr">
        <is>
          <t>Jatuh Tempo</t>
        </is>
      </c>
      <c r="F5" s="21" t="inlineStr">
        <is>
          <t>Nilai (Rp)</t>
        </is>
      </c>
      <c r="G5" s="21" t="inlineStr">
        <is>
          <t>Dibayar (Rp)</t>
        </is>
      </c>
      <c r="H5" s="21" t="inlineStr">
        <is>
          <t>Sisa (Rp)</t>
        </is>
      </c>
      <c r="I5" s="21" t="inlineStr">
        <is>
          <t>Hari Lewat Tempo</t>
        </is>
      </c>
      <c r="J5" s="21" t="inlineStr">
        <is>
          <t>Kelompok Umur</t>
        </is>
      </c>
    </row>
    <row r="6">
      <c r="A6" s="22" t="inlineStr">
        <is>
          <t>INV-2026-0013</t>
        </is>
      </c>
      <c r="B6" s="22" t="inlineStr">
        <is>
          <t>UD Contoh Zeta</t>
        </is>
      </c>
      <c r="C6" s="23" t="n">
        <v>46224</v>
      </c>
      <c r="D6" s="24" t="n">
        <v>14</v>
      </c>
      <c r="E6" s="25">
        <f>IF(A6="","",C6+D6)</f>
        <v/>
      </c>
      <c r="F6" s="26" t="n">
        <v>18000000</v>
      </c>
      <c r="G6" s="26" t="n">
        <v>7200000</v>
      </c>
      <c r="H6" s="27">
        <f>IF(A6="","",F6-G6)</f>
        <v/>
      </c>
      <c r="I6" s="28">
        <f>IF(A6="","",PARAMETER!$C$5-E6)</f>
        <v/>
      </c>
      <c r="J6" s="20">
        <f>IF(A6="","",IF(H6&lt;=0,"Lunas",IF(I6&lt;=0,PARAMETER!$C$11,IF(I6&lt;=PARAMETER!$C$6,PARAMETER!$C$12,IF(I6&lt;=PARAMETER!$C$7,PARAMETER!$C$13,IF(I6&lt;=PARAMETER!$C$8,PARAMETER!$C$14,PARAMETER!$C$15))))))</f>
        <v/>
      </c>
    </row>
    <row r="7">
      <c r="A7" s="22" t="inlineStr">
        <is>
          <t>INV-2026-0016</t>
        </is>
      </c>
      <c r="B7" s="22" t="inlineStr">
        <is>
          <t>PT Contoh Eta</t>
        </is>
      </c>
      <c r="C7" s="23" t="n">
        <v>46225</v>
      </c>
      <c r="D7" s="24" t="n">
        <v>45</v>
      </c>
      <c r="E7" s="25">
        <f>IF(A7="","",C7+D7)</f>
        <v/>
      </c>
      <c r="F7" s="26" t="n">
        <v>95000000</v>
      </c>
      <c r="G7" s="26" t="n"/>
      <c r="H7" s="27">
        <f>IF(A7="","",F7-G7)</f>
        <v/>
      </c>
      <c r="I7" s="28">
        <f>IF(A7="","",PARAMETER!$C$5-E7)</f>
        <v/>
      </c>
      <c r="J7" s="20">
        <f>IF(A7="","",IF(H7&lt;=0,"Lunas",IF(I7&lt;=0,PARAMETER!$C$11,IF(I7&lt;=PARAMETER!$C$6,PARAMETER!$C$12,IF(I7&lt;=PARAMETER!$C$7,PARAMETER!$C$13,IF(I7&lt;=PARAMETER!$C$8,PARAMETER!$C$14,PARAMETER!$C$15))))))</f>
        <v/>
      </c>
    </row>
    <row r="8">
      <c r="A8" s="22" t="inlineStr">
        <is>
          <t>INV-2026-0039</t>
        </is>
      </c>
      <c r="B8" s="22" t="inlineStr">
        <is>
          <t>UD Contoh Gamma</t>
        </is>
      </c>
      <c r="C8" s="23" t="n">
        <v>46227</v>
      </c>
      <c r="D8" s="24" t="n">
        <v>30</v>
      </c>
      <c r="E8" s="25">
        <f>IF(A8="","",C8+D8)</f>
        <v/>
      </c>
      <c r="F8" s="26" t="n">
        <v>70000000</v>
      </c>
      <c r="G8" s="26" t="n"/>
      <c r="H8" s="27">
        <f>IF(A8="","",F8-G8)</f>
        <v/>
      </c>
      <c r="I8" s="28">
        <f>IF(A8="","",PARAMETER!$C$5-E8)</f>
        <v/>
      </c>
      <c r="J8" s="20">
        <f>IF(A8="","",IF(H8&lt;=0,"Lunas",IF(I8&lt;=0,PARAMETER!$C$11,IF(I8&lt;=PARAMETER!$C$6,PARAMETER!$C$12,IF(I8&lt;=PARAMETER!$C$7,PARAMETER!$C$13,IF(I8&lt;=PARAMETER!$C$8,PARAMETER!$C$14,PARAMETER!$C$15))))))</f>
        <v/>
      </c>
    </row>
    <row r="9">
      <c r="A9" s="22" t="inlineStr">
        <is>
          <t>INV-2026-0037</t>
        </is>
      </c>
      <c r="B9" s="22" t="inlineStr">
        <is>
          <t>CV Contoh Beta</t>
        </is>
      </c>
      <c r="C9" s="23" t="n">
        <v>46229</v>
      </c>
      <c r="D9" s="24" t="n">
        <v>45</v>
      </c>
      <c r="E9" s="25">
        <f>IF(A9="","",C9+D9)</f>
        <v/>
      </c>
      <c r="F9" s="26" t="n">
        <v>43000000</v>
      </c>
      <c r="G9" s="26" t="n">
        <v>30100000</v>
      </c>
      <c r="H9" s="27">
        <f>IF(A9="","",F9-G9)</f>
        <v/>
      </c>
      <c r="I9" s="28">
        <f>IF(A9="","",PARAMETER!$C$5-E9)</f>
        <v/>
      </c>
      <c r="J9" s="20">
        <f>IF(A9="","",IF(H9&lt;=0,"Lunas",IF(I9&lt;=0,PARAMETER!$C$11,IF(I9&lt;=PARAMETER!$C$6,PARAMETER!$C$12,IF(I9&lt;=PARAMETER!$C$7,PARAMETER!$C$13,IF(I9&lt;=PARAMETER!$C$8,PARAMETER!$C$14,PARAMETER!$C$15))))))</f>
        <v/>
      </c>
    </row>
    <row r="10">
      <c r="A10" s="22" t="inlineStr">
        <is>
          <t>INV-2026-0015</t>
        </is>
      </c>
      <c r="B10" s="22" t="inlineStr">
        <is>
          <t>CV Contoh Beta</t>
        </is>
      </c>
      <c r="C10" s="23" t="n">
        <v>46230</v>
      </c>
      <c r="D10" s="24" t="n">
        <v>45</v>
      </c>
      <c r="E10" s="25">
        <f>IF(A10="","",C10+D10)</f>
        <v/>
      </c>
      <c r="F10" s="26" t="n">
        <v>29000000</v>
      </c>
      <c r="G10" s="26" t="n">
        <v>29000000</v>
      </c>
      <c r="H10" s="27">
        <f>IF(A10="","",F10-G10)</f>
        <v/>
      </c>
      <c r="I10" s="28">
        <f>IF(A10="","",PARAMETER!$C$5-E10)</f>
        <v/>
      </c>
      <c r="J10" s="20">
        <f>IF(A10="","",IF(H10&lt;=0,"Lunas",IF(I10&lt;=0,PARAMETER!$C$11,IF(I10&lt;=PARAMETER!$C$6,PARAMETER!$C$12,IF(I10&lt;=PARAMETER!$C$7,PARAMETER!$C$13,IF(I10&lt;=PARAMETER!$C$8,PARAMETER!$C$14,PARAMETER!$C$15))))))</f>
        <v/>
      </c>
    </row>
    <row r="11">
      <c r="A11" s="22" t="inlineStr">
        <is>
          <t>INV-2026-0007</t>
        </is>
      </c>
      <c r="B11" s="22" t="inlineStr">
        <is>
          <t>CV Contoh Beta</t>
        </is>
      </c>
      <c r="C11" s="23" t="n">
        <v>46233</v>
      </c>
      <c r="D11" s="24" t="n">
        <v>30</v>
      </c>
      <c r="E11" s="25">
        <f>IF(A11="","",C11+D11)</f>
        <v/>
      </c>
      <c r="F11" s="26" t="n">
        <v>148000000</v>
      </c>
      <c r="G11" s="26" t="n"/>
      <c r="H11" s="27">
        <f>IF(A11="","",F11-G11)</f>
        <v/>
      </c>
      <c r="I11" s="28">
        <f>IF(A11="","",PARAMETER!$C$5-E11)</f>
        <v/>
      </c>
      <c r="J11" s="20">
        <f>IF(A11="","",IF(H11&lt;=0,"Lunas",IF(I11&lt;=0,PARAMETER!$C$11,IF(I11&lt;=PARAMETER!$C$6,PARAMETER!$C$12,IF(I11&lt;=PARAMETER!$C$7,PARAMETER!$C$13,IF(I11&lt;=PARAMETER!$C$8,PARAMETER!$C$14,PARAMETER!$C$15))))))</f>
        <v/>
      </c>
    </row>
    <row r="12">
      <c r="A12" s="22" t="inlineStr">
        <is>
          <t>INV-2026-0032</t>
        </is>
      </c>
      <c r="B12" s="22" t="inlineStr">
        <is>
          <t>UD Contoh Zeta</t>
        </is>
      </c>
      <c r="C12" s="23" t="n">
        <v>46233</v>
      </c>
      <c r="D12" s="24" t="n">
        <v>30</v>
      </c>
      <c r="E12" s="25">
        <f>IF(A12="","",C12+D12)</f>
        <v/>
      </c>
      <c r="F12" s="26" t="n">
        <v>31000000</v>
      </c>
      <c r="G12" s="26" t="n">
        <v>31000000</v>
      </c>
      <c r="H12" s="27">
        <f>IF(A12="","",F12-G12)</f>
        <v/>
      </c>
      <c r="I12" s="28">
        <f>IF(A12="","",PARAMETER!$C$5-E12)</f>
        <v/>
      </c>
      <c r="J12" s="20">
        <f>IF(A12="","",IF(H12&lt;=0,"Lunas",IF(I12&lt;=0,PARAMETER!$C$11,IF(I12&lt;=PARAMETER!$C$6,PARAMETER!$C$12,IF(I12&lt;=PARAMETER!$C$7,PARAMETER!$C$13,IF(I12&lt;=PARAMETER!$C$8,PARAMETER!$C$14,PARAMETER!$C$15))))))</f>
        <v/>
      </c>
    </row>
    <row r="13">
      <c r="A13" s="22" t="inlineStr">
        <is>
          <t>INV-2026-0036</t>
        </is>
      </c>
      <c r="B13" s="22" t="inlineStr">
        <is>
          <t>PT Contoh Alfa</t>
        </is>
      </c>
      <c r="C13" s="23" t="n">
        <v>46234</v>
      </c>
      <c r="D13" s="24" t="n">
        <v>30</v>
      </c>
      <c r="E13" s="25">
        <f>IF(A13="","",C13+D13)</f>
        <v/>
      </c>
      <c r="F13" s="26" t="n">
        <v>25000000</v>
      </c>
      <c r="G13" s="26" t="n">
        <v>25000000</v>
      </c>
      <c r="H13" s="27">
        <f>IF(A13="","",F13-G13)</f>
        <v/>
      </c>
      <c r="I13" s="28">
        <f>IF(A13="","",PARAMETER!$C$5-E13)</f>
        <v/>
      </c>
      <c r="J13" s="20">
        <f>IF(A13="","",IF(H13&lt;=0,"Lunas",IF(I13&lt;=0,PARAMETER!$C$11,IF(I13&lt;=PARAMETER!$C$6,PARAMETER!$C$12,IF(I13&lt;=PARAMETER!$C$7,PARAMETER!$C$13,IF(I13&lt;=PARAMETER!$C$8,PARAMETER!$C$14,PARAMETER!$C$15))))))</f>
        <v/>
      </c>
    </row>
    <row r="14">
      <c r="A14" s="22" t="inlineStr">
        <is>
          <t>INV-2026-0008</t>
        </is>
      </c>
      <c r="B14" s="22" t="inlineStr">
        <is>
          <t>CV Contoh Beta</t>
        </is>
      </c>
      <c r="C14" s="23" t="n">
        <v>46235</v>
      </c>
      <c r="D14" s="24" t="n">
        <v>30</v>
      </c>
      <c r="E14" s="25">
        <f>IF(A14="","",C14+D14)</f>
        <v/>
      </c>
      <c r="F14" s="26" t="n">
        <v>89000000</v>
      </c>
      <c r="G14" s="26" t="n"/>
      <c r="H14" s="27">
        <f>IF(A14="","",F14-G14)</f>
        <v/>
      </c>
      <c r="I14" s="28">
        <f>IF(A14="","",PARAMETER!$C$5-E14)</f>
        <v/>
      </c>
      <c r="J14" s="20">
        <f>IF(A14="","",IF(H14&lt;=0,"Lunas",IF(I14&lt;=0,PARAMETER!$C$11,IF(I14&lt;=PARAMETER!$C$6,PARAMETER!$C$12,IF(I14&lt;=PARAMETER!$C$7,PARAMETER!$C$13,IF(I14&lt;=PARAMETER!$C$8,PARAMETER!$C$14,PARAMETER!$C$15))))))</f>
        <v/>
      </c>
    </row>
    <row r="15">
      <c r="A15" s="22" t="inlineStr">
        <is>
          <t>INV-2026-0027</t>
        </is>
      </c>
      <c r="B15" s="22" t="inlineStr">
        <is>
          <t>PT Contoh Eta</t>
        </is>
      </c>
      <c r="C15" s="23" t="n">
        <v>46236</v>
      </c>
      <c r="D15" s="24" t="n">
        <v>45</v>
      </c>
      <c r="E15" s="25">
        <f>IF(A15="","",C15+D15)</f>
        <v/>
      </c>
      <c r="F15" s="26" t="n">
        <v>77000000</v>
      </c>
      <c r="G15" s="26" t="n">
        <v>38500000</v>
      </c>
      <c r="H15" s="27">
        <f>IF(A15="","",F15-G15)</f>
        <v/>
      </c>
      <c r="I15" s="28">
        <f>IF(A15="","",PARAMETER!$C$5-E15)</f>
        <v/>
      </c>
      <c r="J15" s="20">
        <f>IF(A15="","",IF(H15&lt;=0,"Lunas",IF(I15&lt;=0,PARAMETER!$C$11,IF(I15&lt;=PARAMETER!$C$6,PARAMETER!$C$12,IF(I15&lt;=PARAMETER!$C$7,PARAMETER!$C$13,IF(I15&lt;=PARAMETER!$C$8,PARAMETER!$C$14,PARAMETER!$C$15))))))</f>
        <v/>
      </c>
    </row>
    <row r="16">
      <c r="A16" s="22" t="inlineStr">
        <is>
          <t>INV-2026-0019</t>
        </is>
      </c>
      <c r="B16" s="22" t="inlineStr">
        <is>
          <t>UD Contoh Gamma</t>
        </is>
      </c>
      <c r="C16" s="23" t="n">
        <v>46237</v>
      </c>
      <c r="D16" s="24" t="n">
        <v>45</v>
      </c>
      <c r="E16" s="25">
        <f>IF(A16="","",C16+D16)</f>
        <v/>
      </c>
      <c r="F16" s="26" t="n">
        <v>126000000</v>
      </c>
      <c r="G16" s="26" t="n">
        <v>126000000</v>
      </c>
      <c r="H16" s="27">
        <f>IF(A16="","",F16-G16)</f>
        <v/>
      </c>
      <c r="I16" s="28">
        <f>IF(A16="","",PARAMETER!$C$5-E16)</f>
        <v/>
      </c>
      <c r="J16" s="20">
        <f>IF(A16="","",IF(H16&lt;=0,"Lunas",IF(I16&lt;=0,PARAMETER!$C$11,IF(I16&lt;=PARAMETER!$C$6,PARAMETER!$C$12,IF(I16&lt;=PARAMETER!$C$7,PARAMETER!$C$13,IF(I16&lt;=PARAMETER!$C$8,PARAMETER!$C$14,PARAMETER!$C$15))))))</f>
        <v/>
      </c>
    </row>
    <row r="17">
      <c r="A17" s="22" t="inlineStr">
        <is>
          <t>INV-2026-0003</t>
        </is>
      </c>
      <c r="B17" s="22" t="inlineStr">
        <is>
          <t>CV Contoh Theta</t>
        </is>
      </c>
      <c r="C17" s="23" t="n">
        <v>46241</v>
      </c>
      <c r="D17" s="24" t="n">
        <v>14</v>
      </c>
      <c r="E17" s="25">
        <f>IF(A17="","",C17+D17)</f>
        <v/>
      </c>
      <c r="F17" s="26" t="n">
        <v>76000000</v>
      </c>
      <c r="G17" s="26" t="n">
        <v>76000000</v>
      </c>
      <c r="H17" s="27">
        <f>IF(A17="","",F17-G17)</f>
        <v/>
      </c>
      <c r="I17" s="28">
        <f>IF(A17="","",PARAMETER!$C$5-E17)</f>
        <v/>
      </c>
      <c r="J17" s="20">
        <f>IF(A17="","",IF(H17&lt;=0,"Lunas",IF(I17&lt;=0,PARAMETER!$C$11,IF(I17&lt;=PARAMETER!$C$6,PARAMETER!$C$12,IF(I17&lt;=PARAMETER!$C$7,PARAMETER!$C$13,IF(I17&lt;=PARAMETER!$C$8,PARAMETER!$C$14,PARAMETER!$C$15))))))</f>
        <v/>
      </c>
    </row>
    <row r="18">
      <c r="A18" s="22" t="inlineStr">
        <is>
          <t>INV-2026-0021</t>
        </is>
      </c>
      <c r="B18" s="22" t="inlineStr">
        <is>
          <t>PT Contoh Delta</t>
        </is>
      </c>
      <c r="C18" s="23" t="n">
        <v>46243</v>
      </c>
      <c r="D18" s="24" t="n">
        <v>30</v>
      </c>
      <c r="E18" s="25">
        <f>IF(A18="","",C18+D18)</f>
        <v/>
      </c>
      <c r="F18" s="26" t="n">
        <v>43000000</v>
      </c>
      <c r="G18" s="26" t="n">
        <v>43000000</v>
      </c>
      <c r="H18" s="27">
        <f>IF(A18="","",F18-G18)</f>
        <v/>
      </c>
      <c r="I18" s="28">
        <f>IF(A18="","",PARAMETER!$C$5-E18)</f>
        <v/>
      </c>
      <c r="J18" s="20">
        <f>IF(A18="","",IF(H18&lt;=0,"Lunas",IF(I18&lt;=0,PARAMETER!$C$11,IF(I18&lt;=PARAMETER!$C$6,PARAMETER!$C$12,IF(I18&lt;=PARAMETER!$C$7,PARAMETER!$C$13,IF(I18&lt;=PARAMETER!$C$8,PARAMETER!$C$14,PARAMETER!$C$15))))))</f>
        <v/>
      </c>
    </row>
    <row r="19">
      <c r="A19" s="22" t="inlineStr">
        <is>
          <t>INV-2026-0004</t>
        </is>
      </c>
      <c r="B19" s="22" t="inlineStr">
        <is>
          <t>PT Contoh Eta</t>
        </is>
      </c>
      <c r="C19" s="23" t="n">
        <v>46245</v>
      </c>
      <c r="D19" s="24" t="n">
        <v>30</v>
      </c>
      <c r="E19" s="25">
        <f>IF(A19="","",C19+D19)</f>
        <v/>
      </c>
      <c r="F19" s="26" t="n">
        <v>134000000</v>
      </c>
      <c r="G19" s="26" t="n"/>
      <c r="H19" s="27">
        <f>IF(A19="","",F19-G19)</f>
        <v/>
      </c>
      <c r="I19" s="28">
        <f>IF(A19="","",PARAMETER!$C$5-E19)</f>
        <v/>
      </c>
      <c r="J19" s="20">
        <f>IF(A19="","",IF(H19&lt;=0,"Lunas",IF(I19&lt;=0,PARAMETER!$C$11,IF(I19&lt;=PARAMETER!$C$6,PARAMETER!$C$12,IF(I19&lt;=PARAMETER!$C$7,PARAMETER!$C$13,IF(I19&lt;=PARAMETER!$C$8,PARAMETER!$C$14,PARAMETER!$C$15))))))</f>
        <v/>
      </c>
    </row>
    <row r="20">
      <c r="A20" s="22" t="inlineStr">
        <is>
          <t>INV-2026-0005</t>
        </is>
      </c>
      <c r="B20" s="22" t="inlineStr">
        <is>
          <t>CV Contoh Epsilon</t>
        </is>
      </c>
      <c r="C20" s="23" t="n">
        <v>46246</v>
      </c>
      <c r="D20" s="24" t="n">
        <v>30</v>
      </c>
      <c r="E20" s="25">
        <f>IF(A20="","",C20+D20)</f>
        <v/>
      </c>
      <c r="F20" s="26" t="n">
        <v>87000000</v>
      </c>
      <c r="G20" s="26" t="n">
        <v>87000000</v>
      </c>
      <c r="H20" s="27">
        <f>IF(A20="","",F20-G20)</f>
        <v/>
      </c>
      <c r="I20" s="28">
        <f>IF(A20="","",PARAMETER!$C$5-E20)</f>
        <v/>
      </c>
      <c r="J20" s="20">
        <f>IF(A20="","",IF(H20&lt;=0,"Lunas",IF(I20&lt;=0,PARAMETER!$C$11,IF(I20&lt;=PARAMETER!$C$6,PARAMETER!$C$12,IF(I20&lt;=PARAMETER!$C$7,PARAMETER!$C$13,IF(I20&lt;=PARAMETER!$C$8,PARAMETER!$C$14,PARAMETER!$C$15))))))</f>
        <v/>
      </c>
    </row>
    <row r="21">
      <c r="A21" s="22" t="inlineStr">
        <is>
          <t>INV-2026-0024</t>
        </is>
      </c>
      <c r="B21" s="22" t="inlineStr">
        <is>
          <t>PT Contoh Alfa</t>
        </is>
      </c>
      <c r="C21" s="23" t="n">
        <v>46247</v>
      </c>
      <c r="D21" s="24" t="n">
        <v>14</v>
      </c>
      <c r="E21" s="25">
        <f>IF(A21="","",C21+D21)</f>
        <v/>
      </c>
      <c r="F21" s="26" t="n">
        <v>129000000</v>
      </c>
      <c r="G21" s="26" t="n">
        <v>129000000</v>
      </c>
      <c r="H21" s="27">
        <f>IF(A21="","",F21-G21)</f>
        <v/>
      </c>
      <c r="I21" s="28">
        <f>IF(A21="","",PARAMETER!$C$5-E21)</f>
        <v/>
      </c>
      <c r="J21" s="20">
        <f>IF(A21="","",IF(H21&lt;=0,"Lunas",IF(I21&lt;=0,PARAMETER!$C$11,IF(I21&lt;=PARAMETER!$C$6,PARAMETER!$C$12,IF(I21&lt;=PARAMETER!$C$7,PARAMETER!$C$13,IF(I21&lt;=PARAMETER!$C$8,PARAMETER!$C$14,PARAMETER!$C$15))))))</f>
        <v/>
      </c>
    </row>
    <row r="22">
      <c r="A22" s="22" t="inlineStr">
        <is>
          <t>INV-2026-0028</t>
        </is>
      </c>
      <c r="B22" s="22" t="inlineStr">
        <is>
          <t>CV Contoh Beta</t>
        </is>
      </c>
      <c r="C22" s="23" t="n">
        <v>46247</v>
      </c>
      <c r="D22" s="24" t="n">
        <v>45</v>
      </c>
      <c r="E22" s="25">
        <f>IF(A22="","",C22+D22)</f>
        <v/>
      </c>
      <c r="F22" s="26" t="n">
        <v>69000000</v>
      </c>
      <c r="G22" s="26" t="n">
        <v>69000000</v>
      </c>
      <c r="H22" s="27">
        <f>IF(A22="","",F22-G22)</f>
        <v/>
      </c>
      <c r="I22" s="28">
        <f>IF(A22="","",PARAMETER!$C$5-E22)</f>
        <v/>
      </c>
      <c r="J22" s="20">
        <f>IF(A22="","",IF(H22&lt;=0,"Lunas",IF(I22&lt;=0,PARAMETER!$C$11,IF(I22&lt;=PARAMETER!$C$6,PARAMETER!$C$12,IF(I22&lt;=PARAMETER!$C$7,PARAMETER!$C$13,IF(I22&lt;=PARAMETER!$C$8,PARAMETER!$C$14,PARAMETER!$C$15))))))</f>
        <v/>
      </c>
    </row>
    <row r="23">
      <c r="A23" s="22" t="inlineStr">
        <is>
          <t>INV-2026-0012</t>
        </is>
      </c>
      <c r="B23" s="22" t="inlineStr">
        <is>
          <t>PT Contoh Eta</t>
        </is>
      </c>
      <c r="C23" s="23" t="n">
        <v>46251</v>
      </c>
      <c r="D23" s="24" t="n">
        <v>45</v>
      </c>
      <c r="E23" s="25">
        <f>IF(A23="","",C23+D23)</f>
        <v/>
      </c>
      <c r="F23" s="26" t="n">
        <v>108000000</v>
      </c>
      <c r="G23" s="26" t="n"/>
      <c r="H23" s="27">
        <f>IF(A23="","",F23-G23)</f>
        <v/>
      </c>
      <c r="I23" s="28">
        <f>IF(A23="","",PARAMETER!$C$5-E23)</f>
        <v/>
      </c>
      <c r="J23" s="20">
        <f>IF(A23="","",IF(H23&lt;=0,"Lunas",IF(I23&lt;=0,PARAMETER!$C$11,IF(I23&lt;=PARAMETER!$C$6,PARAMETER!$C$12,IF(I23&lt;=PARAMETER!$C$7,PARAMETER!$C$13,IF(I23&lt;=PARAMETER!$C$8,PARAMETER!$C$14,PARAMETER!$C$15))))))</f>
        <v/>
      </c>
    </row>
    <row r="24">
      <c r="A24" s="22" t="inlineStr">
        <is>
          <t>INV-2026-0020</t>
        </is>
      </c>
      <c r="B24" s="22" t="inlineStr">
        <is>
          <t>CV Contoh Beta</t>
        </is>
      </c>
      <c r="C24" s="23" t="n">
        <v>46253</v>
      </c>
      <c r="D24" s="24" t="n">
        <v>30</v>
      </c>
      <c r="E24" s="25">
        <f>IF(A24="","",C24+D24)</f>
        <v/>
      </c>
      <c r="F24" s="26" t="n">
        <v>58000000</v>
      </c>
      <c r="G24" s="26" t="n"/>
      <c r="H24" s="27">
        <f>IF(A24="","",F24-G24)</f>
        <v/>
      </c>
      <c r="I24" s="28">
        <f>IF(A24="","",PARAMETER!$C$5-E24)</f>
        <v/>
      </c>
      <c r="J24" s="20">
        <f>IF(A24="","",IF(H24&lt;=0,"Lunas",IF(I24&lt;=0,PARAMETER!$C$11,IF(I24&lt;=PARAMETER!$C$6,PARAMETER!$C$12,IF(I24&lt;=PARAMETER!$C$7,PARAMETER!$C$13,IF(I24&lt;=PARAMETER!$C$8,PARAMETER!$C$14,PARAMETER!$C$15))))))</f>
        <v/>
      </c>
    </row>
    <row r="25">
      <c r="A25" s="22" t="inlineStr">
        <is>
          <t>INV-2026-0001</t>
        </is>
      </c>
      <c r="B25" s="22" t="inlineStr">
        <is>
          <t>CV Contoh Beta</t>
        </is>
      </c>
      <c r="C25" s="23" t="n">
        <v>46255</v>
      </c>
      <c r="D25" s="24" t="n">
        <v>30</v>
      </c>
      <c r="E25" s="25">
        <f>IF(A25="","",C25+D25)</f>
        <v/>
      </c>
      <c r="F25" s="26" t="n">
        <v>55000000</v>
      </c>
      <c r="G25" s="26" t="n">
        <v>55000000</v>
      </c>
      <c r="H25" s="27">
        <f>IF(A25="","",F25-G25)</f>
        <v/>
      </c>
      <c r="I25" s="28">
        <f>IF(A25="","",PARAMETER!$C$5-E25)</f>
        <v/>
      </c>
      <c r="J25" s="20">
        <f>IF(A25="","",IF(H25&lt;=0,"Lunas",IF(I25&lt;=0,PARAMETER!$C$11,IF(I25&lt;=PARAMETER!$C$6,PARAMETER!$C$12,IF(I25&lt;=PARAMETER!$C$7,PARAMETER!$C$13,IF(I25&lt;=PARAMETER!$C$8,PARAMETER!$C$14,PARAMETER!$C$15))))))</f>
        <v/>
      </c>
    </row>
    <row r="26">
      <c r="A26" s="22" t="inlineStr">
        <is>
          <t>INV-2026-0031</t>
        </is>
      </c>
      <c r="B26" s="22" t="inlineStr">
        <is>
          <t>CV Contoh Epsilon</t>
        </is>
      </c>
      <c r="C26" s="23" t="n">
        <v>46255</v>
      </c>
      <c r="D26" s="24" t="n">
        <v>45</v>
      </c>
      <c r="E26" s="25">
        <f>IF(A26="","",C26+D26)</f>
        <v/>
      </c>
      <c r="F26" s="26" t="n">
        <v>148000000</v>
      </c>
      <c r="G26" s="26" t="n"/>
      <c r="H26" s="27">
        <f>IF(A26="","",F26-G26)</f>
        <v/>
      </c>
      <c r="I26" s="28">
        <f>IF(A26="","",PARAMETER!$C$5-E26)</f>
        <v/>
      </c>
      <c r="J26" s="20">
        <f>IF(A26="","",IF(H26&lt;=0,"Lunas",IF(I26&lt;=0,PARAMETER!$C$11,IF(I26&lt;=PARAMETER!$C$6,PARAMETER!$C$12,IF(I26&lt;=PARAMETER!$C$7,PARAMETER!$C$13,IF(I26&lt;=PARAMETER!$C$8,PARAMETER!$C$14,PARAMETER!$C$15))))))</f>
        <v/>
      </c>
    </row>
    <row r="27">
      <c r="A27" s="22" t="inlineStr">
        <is>
          <t>INV-2026-0010</t>
        </is>
      </c>
      <c r="B27" s="22" t="inlineStr">
        <is>
          <t>UD Contoh Zeta</t>
        </is>
      </c>
      <c r="C27" s="23" t="n">
        <v>46257</v>
      </c>
      <c r="D27" s="24" t="n">
        <v>45</v>
      </c>
      <c r="E27" s="25">
        <f>IF(A27="","",C27+D27)</f>
        <v/>
      </c>
      <c r="F27" s="26" t="n">
        <v>146000000</v>
      </c>
      <c r="G27" s="26" t="n"/>
      <c r="H27" s="27">
        <f>IF(A27="","",F27-G27)</f>
        <v/>
      </c>
      <c r="I27" s="28">
        <f>IF(A27="","",PARAMETER!$C$5-E27)</f>
        <v/>
      </c>
      <c r="J27" s="20">
        <f>IF(A27="","",IF(H27&lt;=0,"Lunas",IF(I27&lt;=0,PARAMETER!$C$11,IF(I27&lt;=PARAMETER!$C$6,PARAMETER!$C$12,IF(I27&lt;=PARAMETER!$C$7,PARAMETER!$C$13,IF(I27&lt;=PARAMETER!$C$8,PARAMETER!$C$14,PARAMETER!$C$15))))))</f>
        <v/>
      </c>
    </row>
    <row r="28">
      <c r="A28" s="22" t="inlineStr">
        <is>
          <t>INV-2026-0035</t>
        </is>
      </c>
      <c r="B28" s="22" t="inlineStr">
        <is>
          <t>PT Contoh Eta</t>
        </is>
      </c>
      <c r="C28" s="23" t="n">
        <v>46257</v>
      </c>
      <c r="D28" s="24" t="n">
        <v>30</v>
      </c>
      <c r="E28" s="25">
        <f>IF(A28="","",C28+D28)</f>
        <v/>
      </c>
      <c r="F28" s="26" t="n">
        <v>92000000</v>
      </c>
      <c r="G28" s="26" t="n">
        <v>92000000</v>
      </c>
      <c r="H28" s="27">
        <f>IF(A28="","",F28-G28)</f>
        <v/>
      </c>
      <c r="I28" s="28">
        <f>IF(A28="","",PARAMETER!$C$5-E28)</f>
        <v/>
      </c>
      <c r="J28" s="20">
        <f>IF(A28="","",IF(H28&lt;=0,"Lunas",IF(I28&lt;=0,PARAMETER!$C$11,IF(I28&lt;=PARAMETER!$C$6,PARAMETER!$C$12,IF(I28&lt;=PARAMETER!$C$7,PARAMETER!$C$13,IF(I28&lt;=PARAMETER!$C$8,PARAMETER!$C$14,PARAMETER!$C$15))))))</f>
        <v/>
      </c>
    </row>
    <row r="29">
      <c r="A29" s="22" t="inlineStr">
        <is>
          <t>INV-2026-0002</t>
        </is>
      </c>
      <c r="B29" s="22" t="inlineStr">
        <is>
          <t>PT Contoh Delta</t>
        </is>
      </c>
      <c r="C29" s="23" t="n">
        <v>46260</v>
      </c>
      <c r="D29" s="24" t="n">
        <v>45</v>
      </c>
      <c r="E29" s="25">
        <f>IF(A29="","",C29+D29)</f>
        <v/>
      </c>
      <c r="F29" s="26" t="n">
        <v>147000000</v>
      </c>
      <c r="G29" s="26" t="n"/>
      <c r="H29" s="27">
        <f>IF(A29="","",F29-G29)</f>
        <v/>
      </c>
      <c r="I29" s="28">
        <f>IF(A29="","",PARAMETER!$C$5-E29)</f>
        <v/>
      </c>
      <c r="J29" s="20">
        <f>IF(A29="","",IF(H29&lt;=0,"Lunas",IF(I29&lt;=0,PARAMETER!$C$11,IF(I29&lt;=PARAMETER!$C$6,PARAMETER!$C$12,IF(I29&lt;=PARAMETER!$C$7,PARAMETER!$C$13,IF(I29&lt;=PARAMETER!$C$8,PARAMETER!$C$14,PARAMETER!$C$15))))))</f>
        <v/>
      </c>
    </row>
    <row r="30">
      <c r="A30" s="22" t="inlineStr">
        <is>
          <t>INV-2026-0030</t>
        </is>
      </c>
      <c r="B30" s="22" t="inlineStr">
        <is>
          <t>PT Contoh Eta</t>
        </is>
      </c>
      <c r="C30" s="23" t="n">
        <v>46270</v>
      </c>
      <c r="D30" s="24" t="n">
        <v>45</v>
      </c>
      <c r="E30" s="25">
        <f>IF(A30="","",C30+D30)</f>
        <v/>
      </c>
      <c r="F30" s="26" t="n">
        <v>139000000</v>
      </c>
      <c r="G30" s="26" t="n">
        <v>139000000</v>
      </c>
      <c r="H30" s="27">
        <f>IF(A30="","",F30-G30)</f>
        <v/>
      </c>
      <c r="I30" s="28">
        <f>IF(A30="","",PARAMETER!$C$5-E30)</f>
        <v/>
      </c>
      <c r="J30" s="20">
        <f>IF(A30="","",IF(H30&lt;=0,"Lunas",IF(I30&lt;=0,PARAMETER!$C$11,IF(I30&lt;=PARAMETER!$C$6,PARAMETER!$C$12,IF(I30&lt;=PARAMETER!$C$7,PARAMETER!$C$13,IF(I30&lt;=PARAMETER!$C$8,PARAMETER!$C$14,PARAMETER!$C$15))))))</f>
        <v/>
      </c>
    </row>
    <row r="31">
      <c r="A31" s="22" t="inlineStr">
        <is>
          <t>INV-2026-0038</t>
        </is>
      </c>
      <c r="B31" s="22" t="inlineStr">
        <is>
          <t>UD Contoh Gamma</t>
        </is>
      </c>
      <c r="C31" s="23" t="n">
        <v>46278</v>
      </c>
      <c r="D31" s="24" t="n">
        <v>14</v>
      </c>
      <c r="E31" s="25">
        <f>IF(A31="","",C31+D31)</f>
        <v/>
      </c>
      <c r="F31" s="26" t="n">
        <v>33000000</v>
      </c>
      <c r="G31" s="26" t="n">
        <v>33000000</v>
      </c>
      <c r="H31" s="27">
        <f>IF(A31="","",F31-G31)</f>
        <v/>
      </c>
      <c r="I31" s="28">
        <f>IF(A31="","",PARAMETER!$C$5-E31)</f>
        <v/>
      </c>
      <c r="J31" s="20">
        <f>IF(A31="","",IF(H31&lt;=0,"Lunas",IF(I31&lt;=0,PARAMETER!$C$11,IF(I31&lt;=PARAMETER!$C$6,PARAMETER!$C$12,IF(I31&lt;=PARAMETER!$C$7,PARAMETER!$C$13,IF(I31&lt;=PARAMETER!$C$8,PARAMETER!$C$14,PARAMETER!$C$15))))))</f>
        <v/>
      </c>
    </row>
    <row r="32">
      <c r="A32" s="22" t="inlineStr">
        <is>
          <t>INV-2026-0023</t>
        </is>
      </c>
      <c r="B32" s="22" t="inlineStr">
        <is>
          <t>CV Contoh Theta</t>
        </is>
      </c>
      <c r="C32" s="23" t="n">
        <v>46283</v>
      </c>
      <c r="D32" s="24" t="n">
        <v>45</v>
      </c>
      <c r="E32" s="25">
        <f>IF(A32="","",C32+D32)</f>
        <v/>
      </c>
      <c r="F32" s="26" t="n">
        <v>80000000</v>
      </c>
      <c r="G32" s="26" t="n">
        <v>40000000</v>
      </c>
      <c r="H32" s="27">
        <f>IF(A32="","",F32-G32)</f>
        <v/>
      </c>
      <c r="I32" s="28">
        <f>IF(A32="","",PARAMETER!$C$5-E32)</f>
        <v/>
      </c>
      <c r="J32" s="20">
        <f>IF(A32="","",IF(H32&lt;=0,"Lunas",IF(I32&lt;=0,PARAMETER!$C$11,IF(I32&lt;=PARAMETER!$C$6,PARAMETER!$C$12,IF(I32&lt;=PARAMETER!$C$7,PARAMETER!$C$13,IF(I32&lt;=PARAMETER!$C$8,PARAMETER!$C$14,PARAMETER!$C$15))))))</f>
        <v/>
      </c>
    </row>
    <row r="33">
      <c r="A33" s="22" t="inlineStr">
        <is>
          <t>INV-2026-0026</t>
        </is>
      </c>
      <c r="B33" s="22" t="inlineStr">
        <is>
          <t>UD Contoh Gamma</t>
        </is>
      </c>
      <c r="C33" s="23" t="n">
        <v>46288</v>
      </c>
      <c r="D33" s="24" t="n">
        <v>30</v>
      </c>
      <c r="E33" s="25">
        <f>IF(A33="","",C33+D33)</f>
        <v/>
      </c>
      <c r="F33" s="26" t="n">
        <v>26000000</v>
      </c>
      <c r="G33" s="26" t="n"/>
      <c r="H33" s="27">
        <f>IF(A33="","",F33-G33)</f>
        <v/>
      </c>
      <c r="I33" s="28">
        <f>IF(A33="","",PARAMETER!$C$5-E33)</f>
        <v/>
      </c>
      <c r="J33" s="20">
        <f>IF(A33="","",IF(H33&lt;=0,"Lunas",IF(I33&lt;=0,PARAMETER!$C$11,IF(I33&lt;=PARAMETER!$C$6,PARAMETER!$C$12,IF(I33&lt;=PARAMETER!$C$7,PARAMETER!$C$13,IF(I33&lt;=PARAMETER!$C$8,PARAMETER!$C$14,PARAMETER!$C$15))))))</f>
        <v/>
      </c>
    </row>
    <row r="34">
      <c r="A34" s="22" t="inlineStr">
        <is>
          <t>INV-2026-0011</t>
        </is>
      </c>
      <c r="B34" s="22" t="inlineStr">
        <is>
          <t>PT Contoh Delta</t>
        </is>
      </c>
      <c r="C34" s="23" t="n">
        <v>46290</v>
      </c>
      <c r="D34" s="24" t="n">
        <v>14</v>
      </c>
      <c r="E34" s="25">
        <f>IF(A34="","",C34+D34)</f>
        <v/>
      </c>
      <c r="F34" s="26" t="n">
        <v>108000000</v>
      </c>
      <c r="G34" s="26" t="n"/>
      <c r="H34" s="27">
        <f>IF(A34="","",F34-G34)</f>
        <v/>
      </c>
      <c r="I34" s="28">
        <f>IF(A34="","",PARAMETER!$C$5-E34)</f>
        <v/>
      </c>
      <c r="J34" s="20">
        <f>IF(A34="","",IF(H34&lt;=0,"Lunas",IF(I34&lt;=0,PARAMETER!$C$11,IF(I34&lt;=PARAMETER!$C$6,PARAMETER!$C$12,IF(I34&lt;=PARAMETER!$C$7,PARAMETER!$C$13,IF(I34&lt;=PARAMETER!$C$8,PARAMETER!$C$14,PARAMETER!$C$15))))))</f>
        <v/>
      </c>
    </row>
    <row r="35">
      <c r="A35" s="22" t="inlineStr">
        <is>
          <t>INV-2026-0029</t>
        </is>
      </c>
      <c r="B35" s="22" t="inlineStr">
        <is>
          <t>CV Contoh Epsilon</t>
        </is>
      </c>
      <c r="C35" s="23" t="n">
        <v>46290</v>
      </c>
      <c r="D35" s="24" t="n">
        <v>30</v>
      </c>
      <c r="E35" s="25">
        <f>IF(A35="","",C35+D35)</f>
        <v/>
      </c>
      <c r="F35" s="26" t="n">
        <v>85000000</v>
      </c>
      <c r="G35" s="26" t="n"/>
      <c r="H35" s="27">
        <f>IF(A35="","",F35-G35)</f>
        <v/>
      </c>
      <c r="I35" s="28">
        <f>IF(A35="","",PARAMETER!$C$5-E35)</f>
        <v/>
      </c>
      <c r="J35" s="20">
        <f>IF(A35="","",IF(H35&lt;=0,"Lunas",IF(I35&lt;=0,PARAMETER!$C$11,IF(I35&lt;=PARAMETER!$C$6,PARAMETER!$C$12,IF(I35&lt;=PARAMETER!$C$7,PARAMETER!$C$13,IF(I35&lt;=PARAMETER!$C$8,PARAMETER!$C$14,PARAMETER!$C$15))))))</f>
        <v/>
      </c>
    </row>
    <row r="36">
      <c r="A36" s="22" t="inlineStr">
        <is>
          <t>INV-2026-0034</t>
        </is>
      </c>
      <c r="B36" s="22" t="inlineStr">
        <is>
          <t>UD Contoh Gamma</t>
        </is>
      </c>
      <c r="C36" s="23" t="n">
        <v>46290</v>
      </c>
      <c r="D36" s="24" t="n">
        <v>14</v>
      </c>
      <c r="E36" s="25">
        <f>IF(A36="","",C36+D36)</f>
        <v/>
      </c>
      <c r="F36" s="26" t="n">
        <v>35000000</v>
      </c>
      <c r="G36" s="26" t="n"/>
      <c r="H36" s="27">
        <f>IF(A36="","",F36-G36)</f>
        <v/>
      </c>
      <c r="I36" s="28">
        <f>IF(A36="","",PARAMETER!$C$5-E36)</f>
        <v/>
      </c>
      <c r="J36" s="20">
        <f>IF(A36="","",IF(H36&lt;=0,"Lunas",IF(I36&lt;=0,PARAMETER!$C$11,IF(I36&lt;=PARAMETER!$C$6,PARAMETER!$C$12,IF(I36&lt;=PARAMETER!$C$7,PARAMETER!$C$13,IF(I36&lt;=PARAMETER!$C$8,PARAMETER!$C$14,PARAMETER!$C$15))))))</f>
        <v/>
      </c>
    </row>
    <row r="37">
      <c r="A37" s="22" t="inlineStr">
        <is>
          <t>INV-2026-0006</t>
        </is>
      </c>
      <c r="B37" s="22" t="inlineStr">
        <is>
          <t>CV Contoh Beta</t>
        </is>
      </c>
      <c r="C37" s="23" t="n">
        <v>46291</v>
      </c>
      <c r="D37" s="24" t="n">
        <v>45</v>
      </c>
      <c r="E37" s="25">
        <f>IF(A37="","",C37+D37)</f>
        <v/>
      </c>
      <c r="F37" s="26" t="n">
        <v>57000000</v>
      </c>
      <c r="G37" s="26" t="n">
        <v>57000000</v>
      </c>
      <c r="H37" s="27">
        <f>IF(A37="","",F37-G37)</f>
        <v/>
      </c>
      <c r="I37" s="28">
        <f>IF(A37="","",PARAMETER!$C$5-E37)</f>
        <v/>
      </c>
      <c r="J37" s="20">
        <f>IF(A37="","",IF(H37&lt;=0,"Lunas",IF(I37&lt;=0,PARAMETER!$C$11,IF(I37&lt;=PARAMETER!$C$6,PARAMETER!$C$12,IF(I37&lt;=PARAMETER!$C$7,PARAMETER!$C$13,IF(I37&lt;=PARAMETER!$C$8,PARAMETER!$C$14,PARAMETER!$C$15))))))</f>
        <v/>
      </c>
    </row>
    <row r="38">
      <c r="A38" s="22" t="inlineStr">
        <is>
          <t>INV-2026-0040</t>
        </is>
      </c>
      <c r="B38" s="22" t="inlineStr">
        <is>
          <t>PT Contoh Eta</t>
        </is>
      </c>
      <c r="C38" s="23" t="n">
        <v>46292</v>
      </c>
      <c r="D38" s="24" t="n">
        <v>14</v>
      </c>
      <c r="E38" s="25">
        <f>IF(A38="","",C38+D38)</f>
        <v/>
      </c>
      <c r="F38" s="26" t="n">
        <v>22000000</v>
      </c>
      <c r="G38" s="26" t="n">
        <v>22000000</v>
      </c>
      <c r="H38" s="27">
        <f>IF(A38="","",F38-G38)</f>
        <v/>
      </c>
      <c r="I38" s="28">
        <f>IF(A38="","",PARAMETER!$C$5-E38)</f>
        <v/>
      </c>
      <c r="J38" s="20">
        <f>IF(A38="","",IF(H38&lt;=0,"Lunas",IF(I38&lt;=0,PARAMETER!$C$11,IF(I38&lt;=PARAMETER!$C$6,PARAMETER!$C$12,IF(I38&lt;=PARAMETER!$C$7,PARAMETER!$C$13,IF(I38&lt;=PARAMETER!$C$8,PARAMETER!$C$14,PARAMETER!$C$15))))))</f>
        <v/>
      </c>
    </row>
    <row r="39">
      <c r="A39" s="22" t="inlineStr">
        <is>
          <t>INV-2026-0009</t>
        </is>
      </c>
      <c r="B39" s="22" t="inlineStr">
        <is>
          <t>CV Contoh Beta</t>
        </is>
      </c>
      <c r="C39" s="23" t="n">
        <v>46296</v>
      </c>
      <c r="D39" s="24" t="n">
        <v>45</v>
      </c>
      <c r="E39" s="25">
        <f>IF(A39="","",C39+D39)</f>
        <v/>
      </c>
      <c r="F39" s="26" t="n">
        <v>25000000</v>
      </c>
      <c r="G39" s="26" t="n"/>
      <c r="H39" s="27">
        <f>IF(A39="","",F39-G39)</f>
        <v/>
      </c>
      <c r="I39" s="28">
        <f>IF(A39="","",PARAMETER!$C$5-E39)</f>
        <v/>
      </c>
      <c r="J39" s="20">
        <f>IF(A39="","",IF(H39&lt;=0,"Lunas",IF(I39&lt;=0,PARAMETER!$C$11,IF(I39&lt;=PARAMETER!$C$6,PARAMETER!$C$12,IF(I39&lt;=PARAMETER!$C$7,PARAMETER!$C$13,IF(I39&lt;=PARAMETER!$C$8,PARAMETER!$C$14,PARAMETER!$C$15))))))</f>
        <v/>
      </c>
    </row>
    <row r="40">
      <c r="A40" s="22" t="inlineStr">
        <is>
          <t>INV-2026-0017</t>
        </is>
      </c>
      <c r="B40" s="22" t="inlineStr">
        <is>
          <t>UD Contoh Gamma</t>
        </is>
      </c>
      <c r="C40" s="23" t="n">
        <v>46296</v>
      </c>
      <c r="D40" s="24" t="n">
        <v>14</v>
      </c>
      <c r="E40" s="25">
        <f>IF(A40="","",C40+D40)</f>
        <v/>
      </c>
      <c r="F40" s="26" t="n">
        <v>20000000</v>
      </c>
      <c r="G40" s="26" t="n"/>
      <c r="H40" s="27">
        <f>IF(A40="","",F40-G40)</f>
        <v/>
      </c>
      <c r="I40" s="28">
        <f>IF(A40="","",PARAMETER!$C$5-E40)</f>
        <v/>
      </c>
      <c r="J40" s="20">
        <f>IF(A40="","",IF(H40&lt;=0,"Lunas",IF(I40&lt;=0,PARAMETER!$C$11,IF(I40&lt;=PARAMETER!$C$6,PARAMETER!$C$12,IF(I40&lt;=PARAMETER!$C$7,PARAMETER!$C$13,IF(I40&lt;=PARAMETER!$C$8,PARAMETER!$C$14,PARAMETER!$C$15))))))</f>
        <v/>
      </c>
    </row>
    <row r="41">
      <c r="A41" s="22" t="inlineStr">
        <is>
          <t>INV-2026-0022</t>
        </is>
      </c>
      <c r="B41" s="22" t="inlineStr">
        <is>
          <t>CV Contoh Beta</t>
        </is>
      </c>
      <c r="C41" s="23" t="n">
        <v>46308</v>
      </c>
      <c r="D41" s="24" t="n">
        <v>45</v>
      </c>
      <c r="E41" s="25">
        <f>IF(A41="","",C41+D41)</f>
        <v/>
      </c>
      <c r="F41" s="26" t="n">
        <v>111000000</v>
      </c>
      <c r="G41" s="26" t="n">
        <v>55500000</v>
      </c>
      <c r="H41" s="27">
        <f>IF(A41="","",F41-G41)</f>
        <v/>
      </c>
      <c r="I41" s="28">
        <f>IF(A41="","",PARAMETER!$C$5-E41)</f>
        <v/>
      </c>
      <c r="J41" s="20">
        <f>IF(A41="","",IF(H41&lt;=0,"Lunas",IF(I41&lt;=0,PARAMETER!$C$11,IF(I41&lt;=PARAMETER!$C$6,PARAMETER!$C$12,IF(I41&lt;=PARAMETER!$C$7,PARAMETER!$C$13,IF(I41&lt;=PARAMETER!$C$8,PARAMETER!$C$14,PARAMETER!$C$15))))))</f>
        <v/>
      </c>
    </row>
    <row r="42">
      <c r="A42" s="22" t="inlineStr">
        <is>
          <t>INV-2026-0033</t>
        </is>
      </c>
      <c r="B42" s="22" t="inlineStr">
        <is>
          <t>PT Contoh Alfa</t>
        </is>
      </c>
      <c r="C42" s="23" t="n">
        <v>46312</v>
      </c>
      <c r="D42" s="24" t="n">
        <v>14</v>
      </c>
      <c r="E42" s="25">
        <f>IF(A42="","",C42+D42)</f>
        <v/>
      </c>
      <c r="F42" s="26" t="n">
        <v>59000000</v>
      </c>
      <c r="G42" s="26" t="n"/>
      <c r="H42" s="27">
        <f>IF(A42="","",F42-G42)</f>
        <v/>
      </c>
      <c r="I42" s="28">
        <f>IF(A42="","",PARAMETER!$C$5-E42)</f>
        <v/>
      </c>
      <c r="J42" s="20">
        <f>IF(A42="","",IF(H42&lt;=0,"Lunas",IF(I42&lt;=0,PARAMETER!$C$11,IF(I42&lt;=PARAMETER!$C$6,PARAMETER!$C$12,IF(I42&lt;=PARAMETER!$C$7,PARAMETER!$C$13,IF(I42&lt;=PARAMETER!$C$8,PARAMETER!$C$14,PARAMETER!$C$15))))))</f>
        <v/>
      </c>
    </row>
    <row r="43">
      <c r="A43" s="22" t="inlineStr">
        <is>
          <t>INV-2026-0025</t>
        </is>
      </c>
      <c r="B43" s="22" t="inlineStr">
        <is>
          <t>CV Contoh Beta</t>
        </is>
      </c>
      <c r="C43" s="23" t="n">
        <v>46317</v>
      </c>
      <c r="D43" s="24" t="n">
        <v>30</v>
      </c>
      <c r="E43" s="25">
        <f>IF(A43="","",C43+D43)</f>
        <v/>
      </c>
      <c r="F43" s="26" t="n">
        <v>7000000</v>
      </c>
      <c r="G43" s="26" t="n">
        <v>7000000</v>
      </c>
      <c r="H43" s="27">
        <f>IF(A43="","",F43-G43)</f>
        <v/>
      </c>
      <c r="I43" s="28">
        <f>IF(A43="","",PARAMETER!$C$5-E43)</f>
        <v/>
      </c>
      <c r="J43" s="20">
        <f>IF(A43="","",IF(H43&lt;=0,"Lunas",IF(I43&lt;=0,PARAMETER!$C$11,IF(I43&lt;=PARAMETER!$C$6,PARAMETER!$C$12,IF(I43&lt;=PARAMETER!$C$7,PARAMETER!$C$13,IF(I43&lt;=PARAMETER!$C$8,PARAMETER!$C$14,PARAMETER!$C$15))))))</f>
        <v/>
      </c>
    </row>
    <row r="44">
      <c r="A44" s="22" t="inlineStr">
        <is>
          <t>INV-2026-0014</t>
        </is>
      </c>
      <c r="B44" s="22" t="inlineStr">
        <is>
          <t>CV Contoh Theta</t>
        </is>
      </c>
      <c r="C44" s="23" t="n">
        <v>46320</v>
      </c>
      <c r="D44" s="24" t="n">
        <v>45</v>
      </c>
      <c r="E44" s="25">
        <f>IF(A44="","",C44+D44)</f>
        <v/>
      </c>
      <c r="F44" s="26" t="n">
        <v>35000000</v>
      </c>
      <c r="G44" s="26" t="n">
        <v>35000000</v>
      </c>
      <c r="H44" s="27">
        <f>IF(A44="","",F44-G44)</f>
        <v/>
      </c>
      <c r="I44" s="28">
        <f>IF(A44="","",PARAMETER!$C$5-E44)</f>
        <v/>
      </c>
      <c r="J44" s="20">
        <f>IF(A44="","",IF(H44&lt;=0,"Lunas",IF(I44&lt;=0,PARAMETER!$C$11,IF(I44&lt;=PARAMETER!$C$6,PARAMETER!$C$12,IF(I44&lt;=PARAMETER!$C$7,PARAMETER!$C$13,IF(I44&lt;=PARAMETER!$C$8,PARAMETER!$C$14,PARAMETER!$C$15))))))</f>
        <v/>
      </c>
    </row>
    <row r="45">
      <c r="A45" s="22" t="inlineStr">
        <is>
          <t>INV-2026-0018</t>
        </is>
      </c>
      <c r="B45" s="22" t="inlineStr">
        <is>
          <t>CV Contoh Theta</t>
        </is>
      </c>
      <c r="C45" s="23" t="n">
        <v>46320</v>
      </c>
      <c r="D45" s="24" t="n">
        <v>14</v>
      </c>
      <c r="E45" s="25">
        <f>IF(A45="","",C45+D45)</f>
        <v/>
      </c>
      <c r="F45" s="26" t="n">
        <v>7000000</v>
      </c>
      <c r="G45" s="26" t="n">
        <v>7000000</v>
      </c>
      <c r="H45" s="27">
        <f>IF(A45="","",F45-G45)</f>
        <v/>
      </c>
      <c r="I45" s="28">
        <f>IF(A45="","",PARAMETER!$C$5-E45)</f>
        <v/>
      </c>
      <c r="J45" s="20">
        <f>IF(A45="","",IF(H45&lt;=0,"Lunas",IF(I45&lt;=0,PARAMETER!$C$11,IF(I45&lt;=PARAMETER!$C$6,PARAMETER!$C$12,IF(I45&lt;=PARAMETER!$C$7,PARAMETER!$C$13,IF(I45&lt;=PARAMETER!$C$8,PARAMETER!$C$14,PARAMETER!$C$15))))))</f>
        <v/>
      </c>
    </row>
    <row r="46">
      <c r="A46" s="22" t="n"/>
      <c r="B46" s="22" t="n"/>
      <c r="C46" s="23" t="n"/>
      <c r="D46" s="24" t="n"/>
      <c r="E46" s="25">
        <f>IF(A46="","",C46+D46)</f>
        <v/>
      </c>
      <c r="F46" s="26" t="n"/>
      <c r="G46" s="26" t="n"/>
      <c r="H46" s="27">
        <f>IF(A46="","",F46-G46)</f>
        <v/>
      </c>
      <c r="I46" s="28">
        <f>IF(A46="","",PARAMETER!$C$5-E46)</f>
        <v/>
      </c>
      <c r="J46" s="20">
        <f>IF(A46="","",IF(H46&lt;=0,"Lunas",IF(I46&lt;=0,PARAMETER!$C$11,IF(I46&lt;=PARAMETER!$C$6,PARAMETER!$C$12,IF(I46&lt;=PARAMETER!$C$7,PARAMETER!$C$13,IF(I46&lt;=PARAMETER!$C$8,PARAMETER!$C$14,PARAMETER!$C$15))))))</f>
        <v/>
      </c>
    </row>
    <row r="47">
      <c r="A47" s="22" t="n"/>
      <c r="B47" s="22" t="n"/>
      <c r="C47" s="23" t="n"/>
      <c r="D47" s="24" t="n"/>
      <c r="E47" s="25">
        <f>IF(A47="","",C47+D47)</f>
        <v/>
      </c>
      <c r="F47" s="26" t="n"/>
      <c r="G47" s="26" t="n"/>
      <c r="H47" s="27">
        <f>IF(A47="","",F47-G47)</f>
        <v/>
      </c>
      <c r="I47" s="28">
        <f>IF(A47="","",PARAMETER!$C$5-E47)</f>
        <v/>
      </c>
      <c r="J47" s="20">
        <f>IF(A47="","",IF(H47&lt;=0,"Lunas",IF(I47&lt;=0,PARAMETER!$C$11,IF(I47&lt;=PARAMETER!$C$6,PARAMETER!$C$12,IF(I47&lt;=PARAMETER!$C$7,PARAMETER!$C$13,IF(I47&lt;=PARAMETER!$C$8,PARAMETER!$C$14,PARAMETER!$C$15))))))</f>
        <v/>
      </c>
    </row>
    <row r="48">
      <c r="A48" s="22" t="n"/>
      <c r="B48" s="22" t="n"/>
      <c r="C48" s="23" t="n"/>
      <c r="D48" s="24" t="n"/>
      <c r="E48" s="25">
        <f>IF(A48="","",C48+D48)</f>
        <v/>
      </c>
      <c r="F48" s="26" t="n"/>
      <c r="G48" s="26" t="n"/>
      <c r="H48" s="27">
        <f>IF(A48="","",F48-G48)</f>
        <v/>
      </c>
      <c r="I48" s="28">
        <f>IF(A48="","",PARAMETER!$C$5-E48)</f>
        <v/>
      </c>
      <c r="J48" s="20">
        <f>IF(A48="","",IF(H48&lt;=0,"Lunas",IF(I48&lt;=0,PARAMETER!$C$11,IF(I48&lt;=PARAMETER!$C$6,PARAMETER!$C$12,IF(I48&lt;=PARAMETER!$C$7,PARAMETER!$C$13,IF(I48&lt;=PARAMETER!$C$8,PARAMETER!$C$14,PARAMETER!$C$15))))))</f>
        <v/>
      </c>
    </row>
    <row r="49">
      <c r="A49" s="22" t="n"/>
      <c r="B49" s="22" t="n"/>
      <c r="C49" s="23" t="n"/>
      <c r="D49" s="24" t="n"/>
      <c r="E49" s="25">
        <f>IF(A49="","",C49+D49)</f>
        <v/>
      </c>
      <c r="F49" s="26" t="n"/>
      <c r="G49" s="26" t="n"/>
      <c r="H49" s="27">
        <f>IF(A49="","",F49-G49)</f>
        <v/>
      </c>
      <c r="I49" s="28">
        <f>IF(A49="","",PARAMETER!$C$5-E49)</f>
        <v/>
      </c>
      <c r="J49" s="20">
        <f>IF(A49="","",IF(H49&lt;=0,"Lunas",IF(I49&lt;=0,PARAMETER!$C$11,IF(I49&lt;=PARAMETER!$C$6,PARAMETER!$C$12,IF(I49&lt;=PARAMETER!$C$7,PARAMETER!$C$13,IF(I49&lt;=PARAMETER!$C$8,PARAMETER!$C$14,PARAMETER!$C$15))))))</f>
        <v/>
      </c>
    </row>
    <row r="50">
      <c r="A50" s="22" t="n"/>
      <c r="B50" s="22" t="n"/>
      <c r="C50" s="23" t="n"/>
      <c r="D50" s="24" t="n"/>
      <c r="E50" s="25">
        <f>IF(A50="","",C50+D50)</f>
        <v/>
      </c>
      <c r="F50" s="26" t="n"/>
      <c r="G50" s="26" t="n"/>
      <c r="H50" s="27">
        <f>IF(A50="","",F50-G50)</f>
        <v/>
      </c>
      <c r="I50" s="28">
        <f>IF(A50="","",PARAMETER!$C$5-E50)</f>
        <v/>
      </c>
      <c r="J50" s="20">
        <f>IF(A50="","",IF(H50&lt;=0,"Lunas",IF(I50&lt;=0,PARAMETER!$C$11,IF(I50&lt;=PARAMETER!$C$6,PARAMETER!$C$12,IF(I50&lt;=PARAMETER!$C$7,PARAMETER!$C$13,IF(I50&lt;=PARAMETER!$C$8,PARAMETER!$C$14,PARAMETER!$C$15))))))</f>
        <v/>
      </c>
    </row>
    <row r="51">
      <c r="A51" s="22" t="n"/>
      <c r="B51" s="22" t="n"/>
      <c r="C51" s="23" t="n"/>
      <c r="D51" s="24" t="n"/>
      <c r="E51" s="25">
        <f>IF(A51="","",C51+D51)</f>
        <v/>
      </c>
      <c r="F51" s="26" t="n"/>
      <c r="G51" s="26" t="n"/>
      <c r="H51" s="27">
        <f>IF(A51="","",F51-G51)</f>
        <v/>
      </c>
      <c r="I51" s="28">
        <f>IF(A51="","",PARAMETER!$C$5-E51)</f>
        <v/>
      </c>
      <c r="J51" s="20">
        <f>IF(A51="","",IF(H51&lt;=0,"Lunas",IF(I51&lt;=0,PARAMETER!$C$11,IF(I51&lt;=PARAMETER!$C$6,PARAMETER!$C$12,IF(I51&lt;=PARAMETER!$C$7,PARAMETER!$C$13,IF(I51&lt;=PARAMETER!$C$8,PARAMETER!$C$14,PARAMETER!$C$15))))))</f>
        <v/>
      </c>
    </row>
    <row r="52">
      <c r="A52" s="22" t="n"/>
      <c r="B52" s="22" t="n"/>
      <c r="C52" s="23" t="n"/>
      <c r="D52" s="24" t="n"/>
      <c r="E52" s="25">
        <f>IF(A52="","",C52+D52)</f>
        <v/>
      </c>
      <c r="F52" s="26" t="n"/>
      <c r="G52" s="26" t="n"/>
      <c r="H52" s="27">
        <f>IF(A52="","",F52-G52)</f>
        <v/>
      </c>
      <c r="I52" s="28">
        <f>IF(A52="","",PARAMETER!$C$5-E52)</f>
        <v/>
      </c>
      <c r="J52" s="20">
        <f>IF(A52="","",IF(H52&lt;=0,"Lunas",IF(I52&lt;=0,PARAMETER!$C$11,IF(I52&lt;=PARAMETER!$C$6,PARAMETER!$C$12,IF(I52&lt;=PARAMETER!$C$7,PARAMETER!$C$13,IF(I52&lt;=PARAMETER!$C$8,PARAMETER!$C$14,PARAMETER!$C$15))))))</f>
        <v/>
      </c>
    </row>
    <row r="53">
      <c r="A53" s="22" t="n"/>
      <c r="B53" s="22" t="n"/>
      <c r="C53" s="23" t="n"/>
      <c r="D53" s="24" t="n"/>
      <c r="E53" s="25">
        <f>IF(A53="","",C53+D53)</f>
        <v/>
      </c>
      <c r="F53" s="26" t="n"/>
      <c r="G53" s="26" t="n"/>
      <c r="H53" s="27">
        <f>IF(A53="","",F53-G53)</f>
        <v/>
      </c>
      <c r="I53" s="28">
        <f>IF(A53="","",PARAMETER!$C$5-E53)</f>
        <v/>
      </c>
      <c r="J53" s="20">
        <f>IF(A53="","",IF(H53&lt;=0,"Lunas",IF(I53&lt;=0,PARAMETER!$C$11,IF(I53&lt;=PARAMETER!$C$6,PARAMETER!$C$12,IF(I53&lt;=PARAMETER!$C$7,PARAMETER!$C$13,IF(I53&lt;=PARAMETER!$C$8,PARAMETER!$C$14,PARAMETER!$C$15))))))</f>
        <v/>
      </c>
    </row>
    <row r="54">
      <c r="A54" s="22" t="n"/>
      <c r="B54" s="22" t="n"/>
      <c r="C54" s="23" t="n"/>
      <c r="D54" s="24" t="n"/>
      <c r="E54" s="25">
        <f>IF(A54="","",C54+D54)</f>
        <v/>
      </c>
      <c r="F54" s="26" t="n"/>
      <c r="G54" s="26" t="n"/>
      <c r="H54" s="27">
        <f>IF(A54="","",F54-G54)</f>
        <v/>
      </c>
      <c r="I54" s="28">
        <f>IF(A54="","",PARAMETER!$C$5-E54)</f>
        <v/>
      </c>
      <c r="J54" s="20">
        <f>IF(A54="","",IF(H54&lt;=0,"Lunas",IF(I54&lt;=0,PARAMETER!$C$11,IF(I54&lt;=PARAMETER!$C$6,PARAMETER!$C$12,IF(I54&lt;=PARAMETER!$C$7,PARAMETER!$C$13,IF(I54&lt;=PARAMETER!$C$8,PARAMETER!$C$14,PARAMETER!$C$15))))))</f>
        <v/>
      </c>
    </row>
    <row r="55">
      <c r="A55" s="22" t="n"/>
      <c r="B55" s="22" t="n"/>
      <c r="C55" s="23" t="n"/>
      <c r="D55" s="24" t="n"/>
      <c r="E55" s="25">
        <f>IF(A55="","",C55+D55)</f>
        <v/>
      </c>
      <c r="F55" s="26" t="n"/>
      <c r="G55" s="26" t="n"/>
      <c r="H55" s="27">
        <f>IF(A55="","",F55-G55)</f>
        <v/>
      </c>
      <c r="I55" s="28">
        <f>IF(A55="","",PARAMETER!$C$5-E55)</f>
        <v/>
      </c>
      <c r="J55" s="20">
        <f>IF(A55="","",IF(H55&lt;=0,"Lunas",IF(I55&lt;=0,PARAMETER!$C$11,IF(I55&lt;=PARAMETER!$C$6,PARAMETER!$C$12,IF(I55&lt;=PARAMETER!$C$7,PARAMETER!$C$13,IF(I55&lt;=PARAMETER!$C$8,PARAMETER!$C$14,PARAMETER!$C$15))))))</f>
        <v/>
      </c>
    </row>
    <row r="56">
      <c r="A56" s="22" t="n"/>
      <c r="B56" s="22" t="n"/>
      <c r="C56" s="23" t="n"/>
      <c r="D56" s="24" t="n"/>
      <c r="E56" s="25">
        <f>IF(A56="","",C56+D56)</f>
        <v/>
      </c>
      <c r="F56" s="26" t="n"/>
      <c r="G56" s="26" t="n"/>
      <c r="H56" s="27">
        <f>IF(A56="","",F56-G56)</f>
        <v/>
      </c>
      <c r="I56" s="28">
        <f>IF(A56="","",PARAMETER!$C$5-E56)</f>
        <v/>
      </c>
      <c r="J56" s="20">
        <f>IF(A56="","",IF(H56&lt;=0,"Lunas",IF(I56&lt;=0,PARAMETER!$C$11,IF(I56&lt;=PARAMETER!$C$6,PARAMETER!$C$12,IF(I56&lt;=PARAMETER!$C$7,PARAMETER!$C$13,IF(I56&lt;=PARAMETER!$C$8,PARAMETER!$C$14,PARAMETER!$C$15))))))</f>
        <v/>
      </c>
    </row>
    <row r="57">
      <c r="A57" s="22" t="n"/>
      <c r="B57" s="22" t="n"/>
      <c r="C57" s="23" t="n"/>
      <c r="D57" s="24" t="n"/>
      <c r="E57" s="25">
        <f>IF(A57="","",C57+D57)</f>
        <v/>
      </c>
      <c r="F57" s="26" t="n"/>
      <c r="G57" s="26" t="n"/>
      <c r="H57" s="27">
        <f>IF(A57="","",F57-G57)</f>
        <v/>
      </c>
      <c r="I57" s="28">
        <f>IF(A57="","",PARAMETER!$C$5-E57)</f>
        <v/>
      </c>
      <c r="J57" s="20">
        <f>IF(A57="","",IF(H57&lt;=0,"Lunas",IF(I57&lt;=0,PARAMETER!$C$11,IF(I57&lt;=PARAMETER!$C$6,PARAMETER!$C$12,IF(I57&lt;=PARAMETER!$C$7,PARAMETER!$C$13,IF(I57&lt;=PARAMETER!$C$8,PARAMETER!$C$14,PARAMETER!$C$15))))))</f>
        <v/>
      </c>
    </row>
    <row r="58">
      <c r="A58" s="22" t="n"/>
      <c r="B58" s="22" t="n"/>
      <c r="C58" s="23" t="n"/>
      <c r="D58" s="24" t="n"/>
      <c r="E58" s="25">
        <f>IF(A58="","",C58+D58)</f>
        <v/>
      </c>
      <c r="F58" s="26" t="n"/>
      <c r="G58" s="26" t="n"/>
      <c r="H58" s="27">
        <f>IF(A58="","",F58-G58)</f>
        <v/>
      </c>
      <c r="I58" s="28">
        <f>IF(A58="","",PARAMETER!$C$5-E58)</f>
        <v/>
      </c>
      <c r="J58" s="20">
        <f>IF(A58="","",IF(H58&lt;=0,"Lunas",IF(I58&lt;=0,PARAMETER!$C$11,IF(I58&lt;=PARAMETER!$C$6,PARAMETER!$C$12,IF(I58&lt;=PARAMETER!$C$7,PARAMETER!$C$13,IF(I58&lt;=PARAMETER!$C$8,PARAMETER!$C$14,PARAMETER!$C$15))))))</f>
        <v/>
      </c>
    </row>
    <row r="59">
      <c r="A59" s="22" t="n"/>
      <c r="B59" s="22" t="n"/>
      <c r="C59" s="23" t="n"/>
      <c r="D59" s="24" t="n"/>
      <c r="E59" s="25">
        <f>IF(A59="","",C59+D59)</f>
        <v/>
      </c>
      <c r="F59" s="26" t="n"/>
      <c r="G59" s="26" t="n"/>
      <c r="H59" s="27">
        <f>IF(A59="","",F59-G59)</f>
        <v/>
      </c>
      <c r="I59" s="28">
        <f>IF(A59="","",PARAMETER!$C$5-E59)</f>
        <v/>
      </c>
      <c r="J59" s="20">
        <f>IF(A59="","",IF(H59&lt;=0,"Lunas",IF(I59&lt;=0,PARAMETER!$C$11,IF(I59&lt;=PARAMETER!$C$6,PARAMETER!$C$12,IF(I59&lt;=PARAMETER!$C$7,PARAMETER!$C$13,IF(I59&lt;=PARAMETER!$C$8,PARAMETER!$C$14,PARAMETER!$C$15))))))</f>
        <v/>
      </c>
    </row>
    <row r="60">
      <c r="A60" s="22" t="n"/>
      <c r="B60" s="22" t="n"/>
      <c r="C60" s="23" t="n"/>
      <c r="D60" s="24" t="n"/>
      <c r="E60" s="25">
        <f>IF(A60="","",C60+D60)</f>
        <v/>
      </c>
      <c r="F60" s="26" t="n"/>
      <c r="G60" s="26" t="n"/>
      <c r="H60" s="27">
        <f>IF(A60="","",F60-G60)</f>
        <v/>
      </c>
      <c r="I60" s="28">
        <f>IF(A60="","",PARAMETER!$C$5-E60)</f>
        <v/>
      </c>
      <c r="J60" s="20">
        <f>IF(A60="","",IF(H60&lt;=0,"Lunas",IF(I60&lt;=0,PARAMETER!$C$11,IF(I60&lt;=PARAMETER!$C$6,PARAMETER!$C$12,IF(I60&lt;=PARAMETER!$C$7,PARAMETER!$C$13,IF(I60&lt;=PARAMETER!$C$8,PARAMETER!$C$14,PARAMETER!$C$15))))))</f>
        <v/>
      </c>
    </row>
    <row r="61">
      <c r="A61" s="22" t="n"/>
      <c r="B61" s="22" t="n"/>
      <c r="C61" s="23" t="n"/>
      <c r="D61" s="24" t="n"/>
      <c r="E61" s="25">
        <f>IF(A61="","",C61+D61)</f>
        <v/>
      </c>
      <c r="F61" s="26" t="n"/>
      <c r="G61" s="26" t="n"/>
      <c r="H61" s="27">
        <f>IF(A61="","",F61-G61)</f>
        <v/>
      </c>
      <c r="I61" s="28">
        <f>IF(A61="","",PARAMETER!$C$5-E61)</f>
        <v/>
      </c>
      <c r="J61" s="20">
        <f>IF(A61="","",IF(H61&lt;=0,"Lunas",IF(I61&lt;=0,PARAMETER!$C$11,IF(I61&lt;=PARAMETER!$C$6,PARAMETER!$C$12,IF(I61&lt;=PARAMETER!$C$7,PARAMETER!$C$13,IF(I61&lt;=PARAMETER!$C$8,PARAMETER!$C$14,PARAMETER!$C$15))))))</f>
        <v/>
      </c>
    </row>
    <row r="62">
      <c r="A62" s="22" t="n"/>
      <c r="B62" s="22" t="n"/>
      <c r="C62" s="23" t="n"/>
      <c r="D62" s="24" t="n"/>
      <c r="E62" s="25">
        <f>IF(A62="","",C62+D62)</f>
        <v/>
      </c>
      <c r="F62" s="26" t="n"/>
      <c r="G62" s="26" t="n"/>
      <c r="H62" s="27">
        <f>IF(A62="","",F62-G62)</f>
        <v/>
      </c>
      <c r="I62" s="28">
        <f>IF(A62="","",PARAMETER!$C$5-E62)</f>
        <v/>
      </c>
      <c r="J62" s="20">
        <f>IF(A62="","",IF(H62&lt;=0,"Lunas",IF(I62&lt;=0,PARAMETER!$C$11,IF(I62&lt;=PARAMETER!$C$6,PARAMETER!$C$12,IF(I62&lt;=PARAMETER!$C$7,PARAMETER!$C$13,IF(I62&lt;=PARAMETER!$C$8,PARAMETER!$C$14,PARAMETER!$C$15))))))</f>
        <v/>
      </c>
    </row>
    <row r="63">
      <c r="A63" s="22" t="n"/>
      <c r="B63" s="22" t="n"/>
      <c r="C63" s="23" t="n"/>
      <c r="D63" s="24" t="n"/>
      <c r="E63" s="25">
        <f>IF(A63="","",C63+D63)</f>
        <v/>
      </c>
      <c r="F63" s="26" t="n"/>
      <c r="G63" s="26" t="n"/>
      <c r="H63" s="27">
        <f>IF(A63="","",F63-G63)</f>
        <v/>
      </c>
      <c r="I63" s="28">
        <f>IF(A63="","",PARAMETER!$C$5-E63)</f>
        <v/>
      </c>
      <c r="J63" s="20">
        <f>IF(A63="","",IF(H63&lt;=0,"Lunas",IF(I63&lt;=0,PARAMETER!$C$11,IF(I63&lt;=PARAMETER!$C$6,PARAMETER!$C$12,IF(I63&lt;=PARAMETER!$C$7,PARAMETER!$C$13,IF(I63&lt;=PARAMETER!$C$8,PARAMETER!$C$14,PARAMETER!$C$15))))))</f>
        <v/>
      </c>
    </row>
    <row r="64">
      <c r="A64" s="22" t="n"/>
      <c r="B64" s="22" t="n"/>
      <c r="C64" s="23" t="n"/>
      <c r="D64" s="24" t="n"/>
      <c r="E64" s="25">
        <f>IF(A64="","",C64+D64)</f>
        <v/>
      </c>
      <c r="F64" s="26" t="n"/>
      <c r="G64" s="26" t="n"/>
      <c r="H64" s="27">
        <f>IF(A64="","",F64-G64)</f>
        <v/>
      </c>
      <c r="I64" s="28">
        <f>IF(A64="","",PARAMETER!$C$5-E64)</f>
        <v/>
      </c>
      <c r="J64" s="20">
        <f>IF(A64="","",IF(H64&lt;=0,"Lunas",IF(I64&lt;=0,PARAMETER!$C$11,IF(I64&lt;=PARAMETER!$C$6,PARAMETER!$C$12,IF(I64&lt;=PARAMETER!$C$7,PARAMETER!$C$13,IF(I64&lt;=PARAMETER!$C$8,PARAMETER!$C$14,PARAMETER!$C$15))))))</f>
        <v/>
      </c>
    </row>
    <row r="65">
      <c r="A65" s="22" t="n"/>
      <c r="B65" s="22" t="n"/>
      <c r="C65" s="23" t="n"/>
      <c r="D65" s="24" t="n"/>
      <c r="E65" s="25">
        <f>IF(A65="","",C65+D65)</f>
        <v/>
      </c>
      <c r="F65" s="26" t="n"/>
      <c r="G65" s="26" t="n"/>
      <c r="H65" s="27">
        <f>IF(A65="","",F65-G65)</f>
        <v/>
      </c>
      <c r="I65" s="28">
        <f>IF(A65="","",PARAMETER!$C$5-E65)</f>
        <v/>
      </c>
      <c r="J65" s="20">
        <f>IF(A65="","",IF(H65&lt;=0,"Lunas",IF(I65&lt;=0,PARAMETER!$C$11,IF(I65&lt;=PARAMETER!$C$6,PARAMETER!$C$12,IF(I65&lt;=PARAMETER!$C$7,PARAMETER!$C$13,IF(I65&lt;=PARAMETER!$C$8,PARAMETER!$C$14,PARAMETER!$C$15))))))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J65"/>
  <mergeCells count="1">
    <mergeCell ref="A3:J3"/>
  </mergeCells>
  <conditionalFormatting sqref="J6:J65">
    <cfRule type="cellIs" priority="1" operator="equal" dxfId="0">
      <formula>PARAMETER!$C$15</formula>
    </cfRule>
    <cfRule type="cellIs" priority="2" operator="equal" dxfId="1">
      <formula>"Lunas"</formula>
    </cfRule>
  </conditionalFormatting>
  <conditionalFormatting sqref="I6:I65">
    <cfRule type="cellIs" priority="3" operator="greaterThan" dxfId="2">
      <formula>0</formula>
    </cfRule>
  </conditionalFormatting>
  <dataValidations count="1">
    <dataValidation sqref="B6:B65" showDropDown="0" showInputMessage="0" showErrorMessage="0" allowBlank="1" type="list">
      <formula1>=MASTER!$A$6:$A$13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4" customWidth="1" min="8" max="8"/>
    <col hidden="1" width="4" customWidth="1" min="9" max="9"/>
  </cols>
  <sheetData>
    <row r="1" ht="24" customHeight="1">
      <c r="A1" s="13" t="inlineStr">
        <is>
          <t>Aging Pelanggan</t>
        </is>
      </c>
    </row>
    <row r="2">
      <c r="A2" s="14" t="inlineStr">
        <is>
          <t>Saldo per kelompok umur (hari lewat jatuh tempo)</t>
        </is>
      </c>
    </row>
    <row r="3">
      <c r="A3" s="15" t="inlineStr">
        <is>
          <t>VERSI DEMO: kapasitas &amp; fitur dibatasi, data simulasi. Versi lengkap: WhatsApp 089623291732</t>
        </is>
      </c>
    </row>
    <row r="5" ht="32" customHeight="1">
      <c r="A5" s="21" t="inlineStr">
        <is>
          <t>Pelanggan</t>
        </is>
      </c>
      <c r="B5" s="21">
        <f>PARAMETER!C11</f>
        <v/>
      </c>
      <c r="C5" s="21">
        <f>PARAMETER!C12</f>
        <v/>
      </c>
      <c r="D5" s="21">
        <f>PARAMETER!C13</f>
        <v/>
      </c>
      <c r="E5" s="21">
        <f>PARAMETER!C14</f>
        <v/>
      </c>
      <c r="F5" s="21">
        <f>PARAMETER!C15</f>
        <v/>
      </c>
      <c r="G5" s="21" t="inlineStr">
        <is>
          <t>Total (Rp)</t>
        </is>
      </c>
      <c r="H5" s="21" t="inlineStr">
        <is>
          <t>% Lewat Tempo</t>
        </is>
      </c>
      <c r="I5" s="21" t="inlineStr">
        <is>
          <t>Kunci Peringkat</t>
        </is>
      </c>
    </row>
    <row r="6">
      <c r="A6" s="19">
        <f>IF(MASTER!A6="","",MASTER!A6)</f>
        <v/>
      </c>
      <c r="B6" s="27">
        <f>IF($A6="","",SUMIFS(PIUTANG!$H$6:$H$65,PIUTANG!$B$6:$B$65,$A6,PIUTANG!$J$6:$J$65,B$5))</f>
        <v/>
      </c>
      <c r="C6" s="27">
        <f>IF($A6="","",SUMIFS(PIUTANG!$H$6:$H$65,PIUTANG!$B$6:$B$65,$A6,PIUTANG!$J$6:$J$65,C$5))</f>
        <v/>
      </c>
      <c r="D6" s="27">
        <f>IF($A6="","",SUMIFS(PIUTANG!$H$6:$H$65,PIUTANG!$B$6:$B$65,$A6,PIUTANG!$J$6:$J$65,D$5))</f>
        <v/>
      </c>
      <c r="E6" s="27">
        <f>IF($A6="","",SUMIFS(PIUTANG!$H$6:$H$65,PIUTANG!$B$6:$B$65,$A6,PIUTANG!$J$6:$J$65,E$5))</f>
        <v/>
      </c>
      <c r="F6" s="27">
        <f>IF($A6="","",SUMIFS(PIUTANG!$H$6:$H$65,PIUTANG!$B$6:$B$65,$A6,PIUTANG!$J$6:$J$65,F$5))</f>
        <v/>
      </c>
      <c r="G6" s="29">
        <f>IF(A6="","",SUM(B6:F6))</f>
        <v/>
      </c>
      <c r="H6" s="30">
        <f>IF(A6="","",IF(G6=0,0,SUM(C6:F6)/G6))</f>
        <v/>
      </c>
      <c r="I6" s="19">
        <f>IF(A6="",-1,G6+ROW()/1000000000)</f>
        <v/>
      </c>
    </row>
    <row r="7">
      <c r="A7" s="19">
        <f>IF(MASTER!A7="","",MASTER!A7)</f>
        <v/>
      </c>
      <c r="B7" s="27">
        <f>IF($A7="","",SUMIFS(PIUTANG!$H$6:$H$65,PIUTANG!$B$6:$B$65,$A7,PIUTANG!$J$6:$J$65,B$5))</f>
        <v/>
      </c>
      <c r="C7" s="27">
        <f>IF($A7="","",SUMIFS(PIUTANG!$H$6:$H$65,PIUTANG!$B$6:$B$65,$A7,PIUTANG!$J$6:$J$65,C$5))</f>
        <v/>
      </c>
      <c r="D7" s="27">
        <f>IF($A7="","",SUMIFS(PIUTANG!$H$6:$H$65,PIUTANG!$B$6:$B$65,$A7,PIUTANG!$J$6:$J$65,D$5))</f>
        <v/>
      </c>
      <c r="E7" s="27">
        <f>IF($A7="","",SUMIFS(PIUTANG!$H$6:$H$65,PIUTANG!$B$6:$B$65,$A7,PIUTANG!$J$6:$J$65,E$5))</f>
        <v/>
      </c>
      <c r="F7" s="27">
        <f>IF($A7="","",SUMIFS(PIUTANG!$H$6:$H$65,PIUTANG!$B$6:$B$65,$A7,PIUTANG!$J$6:$J$65,F$5))</f>
        <v/>
      </c>
      <c r="G7" s="29">
        <f>IF(A7="","",SUM(B7:F7))</f>
        <v/>
      </c>
      <c r="H7" s="30">
        <f>IF(A7="","",IF(G7=0,0,SUM(C7:F7)/G7))</f>
        <v/>
      </c>
      <c r="I7" s="19">
        <f>IF(A7="",-1,G7+ROW()/1000000000)</f>
        <v/>
      </c>
    </row>
    <row r="8">
      <c r="A8" s="19">
        <f>IF(MASTER!A8="","",MASTER!A8)</f>
        <v/>
      </c>
      <c r="B8" s="27">
        <f>IF($A8="","",SUMIFS(PIUTANG!$H$6:$H$65,PIUTANG!$B$6:$B$65,$A8,PIUTANG!$J$6:$J$65,B$5))</f>
        <v/>
      </c>
      <c r="C8" s="27">
        <f>IF($A8="","",SUMIFS(PIUTANG!$H$6:$H$65,PIUTANG!$B$6:$B$65,$A8,PIUTANG!$J$6:$J$65,C$5))</f>
        <v/>
      </c>
      <c r="D8" s="27">
        <f>IF($A8="","",SUMIFS(PIUTANG!$H$6:$H$65,PIUTANG!$B$6:$B$65,$A8,PIUTANG!$J$6:$J$65,D$5))</f>
        <v/>
      </c>
      <c r="E8" s="27">
        <f>IF($A8="","",SUMIFS(PIUTANG!$H$6:$H$65,PIUTANG!$B$6:$B$65,$A8,PIUTANG!$J$6:$J$65,E$5))</f>
        <v/>
      </c>
      <c r="F8" s="27">
        <f>IF($A8="","",SUMIFS(PIUTANG!$H$6:$H$65,PIUTANG!$B$6:$B$65,$A8,PIUTANG!$J$6:$J$65,F$5))</f>
        <v/>
      </c>
      <c r="G8" s="29">
        <f>IF(A8="","",SUM(B8:F8))</f>
        <v/>
      </c>
      <c r="H8" s="30">
        <f>IF(A8="","",IF(G8=0,0,SUM(C8:F8)/G8))</f>
        <v/>
      </c>
      <c r="I8" s="19">
        <f>IF(A8="",-1,G8+ROW()/1000000000)</f>
        <v/>
      </c>
    </row>
    <row r="9">
      <c r="A9" s="19">
        <f>IF(MASTER!A9="","",MASTER!A9)</f>
        <v/>
      </c>
      <c r="B9" s="27">
        <f>IF($A9="","",SUMIFS(PIUTANG!$H$6:$H$65,PIUTANG!$B$6:$B$65,$A9,PIUTANG!$J$6:$J$65,B$5))</f>
        <v/>
      </c>
      <c r="C9" s="27">
        <f>IF($A9="","",SUMIFS(PIUTANG!$H$6:$H$65,PIUTANG!$B$6:$B$65,$A9,PIUTANG!$J$6:$J$65,C$5))</f>
        <v/>
      </c>
      <c r="D9" s="27">
        <f>IF($A9="","",SUMIFS(PIUTANG!$H$6:$H$65,PIUTANG!$B$6:$B$65,$A9,PIUTANG!$J$6:$J$65,D$5))</f>
        <v/>
      </c>
      <c r="E9" s="27">
        <f>IF($A9="","",SUMIFS(PIUTANG!$H$6:$H$65,PIUTANG!$B$6:$B$65,$A9,PIUTANG!$J$6:$J$65,E$5))</f>
        <v/>
      </c>
      <c r="F9" s="27">
        <f>IF($A9="","",SUMIFS(PIUTANG!$H$6:$H$65,PIUTANG!$B$6:$B$65,$A9,PIUTANG!$J$6:$J$65,F$5))</f>
        <v/>
      </c>
      <c r="G9" s="29">
        <f>IF(A9="","",SUM(B9:F9))</f>
        <v/>
      </c>
      <c r="H9" s="30">
        <f>IF(A9="","",IF(G9=0,0,SUM(C9:F9)/G9))</f>
        <v/>
      </c>
      <c r="I9" s="19">
        <f>IF(A9="",-1,G9+ROW()/1000000000)</f>
        <v/>
      </c>
    </row>
    <row r="10">
      <c r="A10" s="19">
        <f>IF(MASTER!A10="","",MASTER!A10)</f>
        <v/>
      </c>
      <c r="B10" s="27">
        <f>IF($A10="","",SUMIFS(PIUTANG!$H$6:$H$65,PIUTANG!$B$6:$B$65,$A10,PIUTANG!$J$6:$J$65,B$5))</f>
        <v/>
      </c>
      <c r="C10" s="27">
        <f>IF($A10="","",SUMIFS(PIUTANG!$H$6:$H$65,PIUTANG!$B$6:$B$65,$A10,PIUTANG!$J$6:$J$65,C$5))</f>
        <v/>
      </c>
      <c r="D10" s="27">
        <f>IF($A10="","",SUMIFS(PIUTANG!$H$6:$H$65,PIUTANG!$B$6:$B$65,$A10,PIUTANG!$J$6:$J$65,D$5))</f>
        <v/>
      </c>
      <c r="E10" s="27">
        <f>IF($A10="","",SUMIFS(PIUTANG!$H$6:$H$65,PIUTANG!$B$6:$B$65,$A10,PIUTANG!$J$6:$J$65,E$5))</f>
        <v/>
      </c>
      <c r="F10" s="27">
        <f>IF($A10="","",SUMIFS(PIUTANG!$H$6:$H$65,PIUTANG!$B$6:$B$65,$A10,PIUTANG!$J$6:$J$65,F$5))</f>
        <v/>
      </c>
      <c r="G10" s="29">
        <f>IF(A10="","",SUM(B10:F10))</f>
        <v/>
      </c>
      <c r="H10" s="30">
        <f>IF(A10="","",IF(G10=0,0,SUM(C10:F10)/G10))</f>
        <v/>
      </c>
      <c r="I10" s="19">
        <f>IF(A10="",-1,G10+ROW()/1000000000)</f>
        <v/>
      </c>
    </row>
    <row r="11">
      <c r="A11" s="19">
        <f>IF(MASTER!A11="","",MASTER!A11)</f>
        <v/>
      </c>
      <c r="B11" s="27">
        <f>IF($A11="","",SUMIFS(PIUTANG!$H$6:$H$65,PIUTANG!$B$6:$B$65,$A11,PIUTANG!$J$6:$J$65,B$5))</f>
        <v/>
      </c>
      <c r="C11" s="27">
        <f>IF($A11="","",SUMIFS(PIUTANG!$H$6:$H$65,PIUTANG!$B$6:$B$65,$A11,PIUTANG!$J$6:$J$65,C$5))</f>
        <v/>
      </c>
      <c r="D11" s="27">
        <f>IF($A11="","",SUMIFS(PIUTANG!$H$6:$H$65,PIUTANG!$B$6:$B$65,$A11,PIUTANG!$J$6:$J$65,D$5))</f>
        <v/>
      </c>
      <c r="E11" s="27">
        <f>IF($A11="","",SUMIFS(PIUTANG!$H$6:$H$65,PIUTANG!$B$6:$B$65,$A11,PIUTANG!$J$6:$J$65,E$5))</f>
        <v/>
      </c>
      <c r="F11" s="27">
        <f>IF($A11="","",SUMIFS(PIUTANG!$H$6:$H$65,PIUTANG!$B$6:$B$65,$A11,PIUTANG!$J$6:$J$65,F$5))</f>
        <v/>
      </c>
      <c r="G11" s="29">
        <f>IF(A11="","",SUM(B11:F11))</f>
        <v/>
      </c>
      <c r="H11" s="30">
        <f>IF(A11="","",IF(G11=0,0,SUM(C11:F11)/G11))</f>
        <v/>
      </c>
      <c r="I11" s="19">
        <f>IF(A11="",-1,G11+ROW()/1000000000)</f>
        <v/>
      </c>
    </row>
    <row r="12">
      <c r="A12" s="19">
        <f>IF(MASTER!A12="","",MASTER!A12)</f>
        <v/>
      </c>
      <c r="B12" s="27">
        <f>IF($A12="","",SUMIFS(PIUTANG!$H$6:$H$65,PIUTANG!$B$6:$B$65,$A12,PIUTANG!$J$6:$J$65,B$5))</f>
        <v/>
      </c>
      <c r="C12" s="27">
        <f>IF($A12="","",SUMIFS(PIUTANG!$H$6:$H$65,PIUTANG!$B$6:$B$65,$A12,PIUTANG!$J$6:$J$65,C$5))</f>
        <v/>
      </c>
      <c r="D12" s="27">
        <f>IF($A12="","",SUMIFS(PIUTANG!$H$6:$H$65,PIUTANG!$B$6:$B$65,$A12,PIUTANG!$J$6:$J$65,D$5))</f>
        <v/>
      </c>
      <c r="E12" s="27">
        <f>IF($A12="","",SUMIFS(PIUTANG!$H$6:$H$65,PIUTANG!$B$6:$B$65,$A12,PIUTANG!$J$6:$J$65,E$5))</f>
        <v/>
      </c>
      <c r="F12" s="27">
        <f>IF($A12="","",SUMIFS(PIUTANG!$H$6:$H$65,PIUTANG!$B$6:$B$65,$A12,PIUTANG!$J$6:$J$65,F$5))</f>
        <v/>
      </c>
      <c r="G12" s="29">
        <f>IF(A12="","",SUM(B12:F12))</f>
        <v/>
      </c>
      <c r="H12" s="30">
        <f>IF(A12="","",IF(G12=0,0,SUM(C12:F12)/G12))</f>
        <v/>
      </c>
      <c r="I12" s="19">
        <f>IF(A12="",-1,G12+ROW()/1000000000)</f>
        <v/>
      </c>
    </row>
    <row r="13">
      <c r="A13" s="19">
        <f>IF(MASTER!A13="","",MASTER!A13)</f>
        <v/>
      </c>
      <c r="B13" s="27">
        <f>IF($A13="","",SUMIFS(PIUTANG!$H$6:$H$65,PIUTANG!$B$6:$B$65,$A13,PIUTANG!$J$6:$J$65,B$5))</f>
        <v/>
      </c>
      <c r="C13" s="27">
        <f>IF($A13="","",SUMIFS(PIUTANG!$H$6:$H$65,PIUTANG!$B$6:$B$65,$A13,PIUTANG!$J$6:$J$65,C$5))</f>
        <v/>
      </c>
      <c r="D13" s="27">
        <f>IF($A13="","",SUMIFS(PIUTANG!$H$6:$H$65,PIUTANG!$B$6:$B$65,$A13,PIUTANG!$J$6:$J$65,D$5))</f>
        <v/>
      </c>
      <c r="E13" s="27">
        <f>IF($A13="","",SUMIFS(PIUTANG!$H$6:$H$65,PIUTANG!$B$6:$B$65,$A13,PIUTANG!$J$6:$J$65,E$5))</f>
        <v/>
      </c>
      <c r="F13" s="27">
        <f>IF($A13="","",SUMIFS(PIUTANG!$H$6:$H$65,PIUTANG!$B$6:$B$65,$A13,PIUTANG!$J$6:$J$65,F$5))</f>
        <v/>
      </c>
      <c r="G13" s="29">
        <f>IF(A13="","",SUM(B13:F13))</f>
        <v/>
      </c>
      <c r="H13" s="30">
        <f>IF(A13="","",IF(G13=0,0,SUM(C13:F13)/G13))</f>
        <v/>
      </c>
      <c r="I13" s="19">
        <f>IF(A13="",-1,G13+ROW()/1000000000)</f>
        <v/>
      </c>
    </row>
    <row r="14">
      <c r="A14" s="31" t="inlineStr">
        <is>
          <t>TOTAL</t>
        </is>
      </c>
      <c r="B14" s="32">
        <f>SUM(B6:B13)</f>
        <v/>
      </c>
      <c r="C14" s="32">
        <f>SUM(C6:C13)</f>
        <v/>
      </c>
      <c r="D14" s="32">
        <f>SUM(D6:D13)</f>
        <v/>
      </c>
      <c r="E14" s="32">
        <f>SUM(E6:E13)</f>
        <v/>
      </c>
      <c r="F14" s="32">
        <f>SUM(F6:F13)</f>
        <v/>
      </c>
      <c r="G14" s="32">
        <f>SUM(G6:G13)</f>
        <v/>
      </c>
      <c r="H14" s="33">
        <f>IF(G14=0,0,SUM(C14:F14)/G14)</f>
        <v/>
      </c>
    </row>
    <row r="15">
      <c r="A15" s="34" t="inlineStr">
        <is>
          <t>% dari total</t>
        </is>
      </c>
      <c r="B15" s="35">
        <f>IF($G$14=0,0,B14/$G$14)</f>
        <v/>
      </c>
      <c r="C15" s="35">
        <f>IF($G$14=0,0,C14/$G$14)</f>
        <v/>
      </c>
      <c r="D15" s="35">
        <f>IF($G$14=0,0,D14/$G$14)</f>
        <v/>
      </c>
      <c r="E15" s="35">
        <f>IF($G$14=0,0,E14/$G$14)</f>
        <v/>
      </c>
      <c r="F15" s="35">
        <f>IF($G$14=0,0,F14/$G$14)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I3"/>
  </mergeCells>
  <conditionalFormatting sqref="H6:H13">
    <cfRule type="colorScale" priority="1">
      <colorScale>
        <cfvo type="num" val="0"/>
        <cfvo type="num" val="1"/>
        <color rgb="00FFFFFF"/>
        <color rgb="00F5B7B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36" t="inlineStr">
        <is>
          <t>Fitur Versi Lengkap</t>
        </is>
      </c>
    </row>
    <row r="3" ht="32" customHeight="1">
      <c r="B3" s="37" t="inlineStr">
        <is>
          <t>HUTANG</t>
        </is>
      </c>
    </row>
    <row r="5" ht="48" customHeight="1">
      <c r="B5" s="38" t="inlineStr">
        <is>
          <t>Daftar tagihan pemasok (utang usaha).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39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36" t="inlineStr">
        <is>
          <t>Fitur Versi Lengkap</t>
        </is>
      </c>
    </row>
    <row r="3" ht="32" customHeight="1">
      <c r="B3" s="37" t="inlineStr">
        <is>
          <t>AGING HUTANG</t>
        </is>
      </c>
    </row>
    <row r="5" ht="48" customHeight="1">
      <c r="B5" s="38" t="inlineStr">
        <is>
          <t>Aging utang usaha per pemasok.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39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36" t="inlineStr">
        <is>
          <t>Fitur Versi Lengkap</t>
        </is>
      </c>
    </row>
    <row r="3" ht="32" customHeight="1">
      <c r="B3" s="37" t="inlineStr">
        <is>
          <t>DASHBOARD</t>
        </is>
      </c>
    </row>
    <row r="5" ht="48" customHeight="1">
      <c r="B5" s="38" t="inlineStr">
        <is>
          <t>Ringkasan piutang vs utang, persentase lewat tempo, dan 5 debitur terbesar.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39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Aging Piutang &amp; Hutang (Demo)</dc:title>
  <dc:subject xmlns:dc="http://purl.org/dc/elements/1.1/">Lisensi: demo</dc:subject>
  <dcterms:created xmlns:dcterms="http://purl.org/dc/terms/" xmlns:xsi="http://www.w3.org/2001/XMLSchema-instance" xsi:type="dcterms:W3CDTF">2026-10-29T23:17:32Z</dcterms:created>
  <dcterms:modified xmlns:dcterms="http://purl.org/dc/terms/" xmlns:xsi="http://www.w3.org/2001/XMLSchema-instance" xsi:type="dcterms:W3CDTF">2026-10-29T23:17:32Z</dcterms:modified>
</cp:coreProperties>
</file>