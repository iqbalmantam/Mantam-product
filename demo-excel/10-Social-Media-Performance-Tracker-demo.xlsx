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POSTINGAN" sheetId="3" state="visible" r:id="rId3"/>
    <sheet xmlns:r="http://schemas.openxmlformats.org/officeDocument/2006/relationships" name="RINGKASAN" sheetId="4" state="visible" r:id="rId4"/>
  </sheets>
  <definedNames>
    <definedName name="_xlnm._FilterDatabase" localSheetId="2" hidden="1">'POSTINGAN'!$A$5:$U$85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0.0%"/>
    <numFmt numFmtId="167" formatCode="mmm yyyy"/>
    <numFmt numFmtId="168" formatCode="+0.00%;-0.00%;0.00%"/>
    <numFmt numFmtId="169" formatCode="#,##0;(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5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9" fillId="0" borderId="1" applyProtection="1" pivotButton="0" quotePrefix="0" xfId="0">
      <protection locked="0" hidden="0"/>
    </xf>
    <xf numFmtId="3" fontId="9" fillId="3" borderId="1" applyProtection="1" pivotButton="0" quotePrefix="0" xfId="0">
      <protection locked="0" hidden="0"/>
    </xf>
    <xf numFmtId="0" fontId="8" fillId="0" borderId="1" pivotButton="0" quotePrefix="0" xfId="0"/>
    <xf numFmtId="165" fontId="9" fillId="0" borderId="1" applyProtection="1" pivotButton="0" quotePrefix="0" xfId="0">
      <protection locked="0" hidden="0"/>
    </xf>
    <xf numFmtId="3" fontId="9" fillId="0" borderId="1" applyProtection="1" pivotButton="0" quotePrefix="0" xfId="0">
      <protection locked="0" hidden="0"/>
    </xf>
    <xf numFmtId="3" fontId="8" fillId="0" borderId="1" pivotButton="0" quotePrefix="0" xfId="0"/>
    <xf numFmtId="1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9" fontId="8" fillId="0" borderId="1" pivotButton="0" quotePrefix="0" xfId="0"/>
    <xf numFmtId="0" fontId="7" fillId="6" borderId="1" pivotButton="0" quotePrefix="0" xfId="0"/>
    <xf numFmtId="1" fontId="7" fillId="6" borderId="1" applyAlignment="1" pivotButton="0" quotePrefix="0" xfId="0">
      <alignment horizontal="center" vertical="center"/>
    </xf>
    <xf numFmtId="3" fontId="7" fillId="6" borderId="1" pivotButton="0" quotePrefix="0" xfId="0"/>
    <xf numFmtId="10" fontId="7" fillId="6" borderId="1" applyAlignment="1" pivotButton="0" quotePrefix="0" xfId="0">
      <alignment horizontal="center" vertical="center"/>
    </xf>
    <xf numFmtId="168" fontId="7" fillId="6" borderId="1" applyAlignment="1" pivotButton="0" quotePrefix="0" xfId="0">
      <alignment horizontal="center" vertical="center"/>
    </xf>
    <xf numFmtId="169" fontId="7" fillId="6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C0392B"/>
        <sz val="10"/>
      </font>
    </dxf>
    <dxf>
      <font>
        <name val="Arial"/>
        <b val="1"/>
        <color rgb="001E8449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ER Jangkauan per Format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'RINGKASAN'!E15</f>
            </strRef>
          </tx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'RINGKASAN'!$A$16:$A$21</f>
            </numRef>
          </cat>
          <val>
            <numRef>
              <f>'RINGKASAN'!$E$16:$E$21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Social Media Performance Tracker</t>
        </is>
      </c>
    </row>
    <row r="3" ht="44" customHeight="1">
      <c r="B3" s="3" t="inlineStr">
        <is>
          <t>Catat performa tiap postingan dan baca engagement rate per platform, format, pilar, dan waktu posting untuk keputusan konten berbasis data.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pengikut dan target di PARAMETER (sel kuning).</t>
        </is>
      </c>
    </row>
    <row r="9" ht="30" customHeight="1">
      <c r="B9" s="8" t="inlineStr">
        <is>
          <t>Langkah 2</t>
        </is>
      </c>
      <c r="C9" s="9" t="inlineStr">
        <is>
          <t>Catat setiap postingan di POSTINGAN: tanggal, platform, format, pilar, slot waktu, biaya iklan, dan metrik.</t>
        </is>
      </c>
    </row>
    <row r="10" ht="16" customHeight="1">
      <c r="B10" s="8" t="inlineStr">
        <is>
          <t>Langkah 3</t>
        </is>
      </c>
      <c r="C10" s="9" t="inlineStr">
        <is>
          <t>Interaksi, ER (jangkauan dan pengikut), hari, dan bulan terisi otomatis.</t>
        </is>
      </c>
    </row>
    <row r="11" ht="16" customHeight="1">
      <c r="B11" s="8" t="inlineStr">
        <is>
          <t>Langkah 4</t>
        </is>
      </c>
      <c r="C11" s="9" t="inlineStr">
        <is>
          <t>Baca RINGKASAN.</t>
        </is>
      </c>
    </row>
    <row r="13">
      <c r="B13" s="6" t="inlineStr">
        <is>
          <t>Isi berkas</t>
        </is>
      </c>
      <c r="C13" s="7" t="n"/>
    </row>
    <row r="14" ht="16" customHeight="1">
      <c r="B14" s="8" t="inlineStr">
        <is>
          <t>PARAMETER</t>
        </is>
      </c>
      <c r="C14" s="9" t="inlineStr">
        <is>
          <t>Tanggal laporan, target engagement rate, dan jumlah pengikut per platform.</t>
        </is>
      </c>
    </row>
    <row r="15" ht="30" customHeight="1">
      <c r="B15" s="8" t="inlineStr">
        <is>
          <t>POSTINGAN</t>
        </is>
      </c>
      <c r="C15" s="9" t="inlineStr">
        <is>
          <t>Log postingan (kapasitas 80): metrik tiap posting; interaksi, ER, hari, dan bulan terisi otomatis.</t>
        </is>
      </c>
    </row>
    <row r="16" ht="16" customHeight="1">
      <c r="B16" s="8" t="inlineStr">
        <is>
          <t>RINGKASAN</t>
        </is>
      </c>
      <c r="C16" s="9" t="inlineStr">
        <is>
          <t>Performa per platform, per format, dan per pilar konten dibanding target.</t>
        </is>
      </c>
    </row>
    <row r="18">
      <c r="B18" s="6" t="inlineStr">
        <is>
          <t>Legenda warna</t>
        </is>
      </c>
      <c r="C18" s="7" t="n"/>
    </row>
    <row r="19">
      <c r="B19" s="10" t="inlineStr">
        <is>
          <t>Teks biru</t>
        </is>
      </c>
      <c r="C19" s="11" t="inlineStr">
        <is>
          <t>Sel input: boleh Anda ubah (tidak terkunci).</t>
        </is>
      </c>
    </row>
    <row r="20">
      <c r="B20" s="12" t="inlineStr">
        <is>
          <t>Sel kuning</t>
        </is>
      </c>
      <c r="C20" s="11" t="inlineStr">
        <is>
          <t>Parameter kunci: periksa terlebih dulu.</t>
        </is>
      </c>
    </row>
    <row r="21">
      <c r="B21" s="11" t="inlineStr">
        <is>
          <t>Teks hitam</t>
        </is>
      </c>
      <c r="C21" s="11" t="inlineStr">
        <is>
          <t>Rumus otomatis (terkunci; Review &gt; Unprotect Sheet tanpa kata sandi bila perlu).</t>
        </is>
      </c>
    </row>
    <row r="23">
      <c r="B23" s="6" t="inlineStr">
        <is>
          <t>Catatan</t>
        </is>
      </c>
      <c r="C23" s="7" t="n"/>
    </row>
    <row r="24" ht="16" customHeight="1">
      <c r="C24" s="9" t="inlineStr">
        <is>
          <t>• Seluruh data adalah simulasi buatan, bukan data perusahaan nyata.</t>
        </is>
      </c>
    </row>
    <row r="25" ht="30" customHeight="1">
      <c r="C25" s="9" t="inlineStr">
        <is>
          <t>• Hasil perhitungan adalah alat bantu; verifikasi dengan akuntan/konsultan sebelum dipakai untuk keputusan atau pelaporan resmi.</t>
        </is>
      </c>
    </row>
    <row r="26" ht="30" customHeight="1">
      <c r="C26" s="9" t="inlineStr">
        <is>
          <t>• ER (jangkauan) = (like + komentar + share + simpan) ÷ jangkauan. ER (pengikut) = interaksi ÷ jumlah pengikut platform.</t>
        </is>
      </c>
    </row>
    <row r="27" ht="30" customHeight="1">
      <c r="C27" s="9" t="inlineStr">
        <is>
          <t>• Salin metrik dari analitik resmi tiap platform; berkas ini tidak terhubung langsung ke platform mana pun.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Tanggal laporan</t>
        </is>
      </c>
      <c r="C5" s="17" t="n">
        <v>46326</v>
      </c>
    </row>
    <row r="6">
      <c r="B6" s="16" t="inlineStr">
        <is>
          <t>Target ER (jangkauan)</t>
        </is>
      </c>
      <c r="C6" s="18" t="n">
        <v>0.045</v>
      </c>
    </row>
    <row r="9" ht="20" customHeight="1">
      <c r="B9" s="19" t="inlineStr">
        <is>
          <t>Platform</t>
        </is>
      </c>
      <c r="C9" s="19" t="inlineStr">
        <is>
          <t>Pengikut</t>
        </is>
      </c>
    </row>
    <row r="10">
      <c r="B10" s="20" t="inlineStr">
        <is>
          <t>Instagram</t>
        </is>
      </c>
      <c r="C10" s="21" t="n">
        <v>18500</v>
      </c>
    </row>
    <row r="11">
      <c r="B11" s="20" t="inlineStr">
        <is>
          <t>TikTok</t>
        </is>
      </c>
      <c r="C11" s="21" t="n">
        <v>32400</v>
      </c>
    </row>
    <row r="12">
      <c r="B12" s="20" t="n"/>
      <c r="C12" s="21" t="n"/>
    </row>
    <row r="13">
      <c r="B13" s="20" t="n"/>
      <c r="C13" s="21" t="n"/>
    </row>
    <row r="14">
      <c r="B14" s="20" t="n"/>
      <c r="C14" s="21" t="n"/>
    </row>
    <row r="16" ht="20" customHeight="1">
      <c r="B16" s="19" t="inlineStr">
        <is>
          <t>Format</t>
        </is>
      </c>
    </row>
    <row r="17">
      <c r="B17" s="20" t="inlineStr">
        <is>
          <t>Reels</t>
        </is>
      </c>
    </row>
    <row r="18">
      <c r="B18" s="20" t="inlineStr">
        <is>
          <t>Carousel</t>
        </is>
      </c>
    </row>
    <row r="19">
      <c r="B19" s="20" t="inlineStr">
        <is>
          <t>Foto</t>
        </is>
      </c>
    </row>
    <row r="20">
      <c r="B20" s="20" t="inlineStr">
        <is>
          <t>Video</t>
        </is>
      </c>
    </row>
    <row r="21">
      <c r="B21" s="20" t="inlineStr">
        <is>
          <t>Story</t>
        </is>
      </c>
    </row>
    <row r="22">
      <c r="B22" s="20" t="inlineStr">
        <is>
          <t>Teks</t>
        </is>
      </c>
    </row>
    <row r="24" ht="20" customHeight="1">
      <c r="B24" s="19" t="inlineStr">
        <is>
          <t>Pilar konten</t>
        </is>
      </c>
    </row>
    <row r="25">
      <c r="B25" s="20" t="inlineStr">
        <is>
          <t>Edukasi</t>
        </is>
      </c>
    </row>
    <row r="26">
      <c r="B26" s="20" t="inlineStr">
        <is>
          <t>Hiburan</t>
        </is>
      </c>
    </row>
    <row r="27">
      <c r="B27" s="20" t="inlineStr">
        <is>
          <t>Promosi</t>
        </is>
      </c>
    </row>
    <row r="28">
      <c r="B28" s="20" t="inlineStr">
        <is>
          <t>Bukti Sosial</t>
        </is>
      </c>
    </row>
    <row r="29">
      <c r="B29" s="20" t="inlineStr">
        <is>
          <t>Di Balik Layar</t>
        </is>
      </c>
    </row>
    <row r="31" ht="20" customHeight="1">
      <c r="B31" s="19" t="inlineStr">
        <is>
          <t>Slot waktu</t>
        </is>
      </c>
    </row>
    <row r="32">
      <c r="B32" s="22" t="inlineStr">
        <is>
          <t>Pagi</t>
        </is>
      </c>
    </row>
    <row r="33">
      <c r="B33" s="22" t="inlineStr">
        <is>
          <t>Siang</t>
        </is>
      </c>
    </row>
    <row r="34">
      <c r="B34" s="22" t="inlineStr">
        <is>
          <t>Sore</t>
        </is>
      </c>
    </row>
    <row r="35">
      <c r="B35" s="22" t="inlineStr">
        <is>
          <t>Malam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E3"/>
  </mergeCells>
  <dataValidations count="1">
    <dataValidation sqref="C6" showDropDown="0" showInputMessage="0" showErrorMessage="1" allowBlank="1" error="Isi angka antara 0 dan 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4" customWidth="1" min="5" max="5"/>
    <col width="8" customWidth="1" min="6" max="6"/>
    <col width="26" customWidth="1" min="7" max="7"/>
    <col width="13" customWidth="1" min="8" max="8"/>
    <col width="11" customWidth="1" min="9" max="9"/>
    <col width="11" customWidth="1" min="10" max="10"/>
    <col width="9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1" customWidth="1" min="17" max="17"/>
    <col width="11" customWidth="1" min="18" max="18"/>
    <col width="7" customWidth="1" min="19" max="19"/>
    <col width="10" customWidth="1" min="20" max="20"/>
    <col width="14" customWidth="1" min="21" max="21"/>
  </cols>
  <sheetData>
    <row r="1" ht="24" customHeight="1">
      <c r="A1" s="13" t="inlineStr">
        <is>
          <t>Log Postingan</t>
        </is>
      </c>
    </row>
    <row r="2">
      <c r="A2" s="14" t="inlineStr">
        <is>
          <t>Kapasitas 80 baris</t>
        </is>
      </c>
    </row>
    <row r="3">
      <c r="A3" s="15" t="inlineStr">
        <is>
          <t>VERSI DEMO: kapasitas &amp; fitur dibatasi, data simulasi. Versi lengkap: WhatsApp 089623291732</t>
        </is>
      </c>
    </row>
    <row r="5" ht="44" customHeight="1">
      <c r="A5" s="19" t="inlineStr">
        <is>
          <t>ID</t>
        </is>
      </c>
      <c r="B5" s="19" t="inlineStr">
        <is>
          <t>Tanggal</t>
        </is>
      </c>
      <c r="C5" s="19" t="inlineStr">
        <is>
          <t>Platform</t>
        </is>
      </c>
      <c r="D5" s="19" t="inlineStr">
        <is>
          <t>Format</t>
        </is>
      </c>
      <c r="E5" s="19" t="inlineStr">
        <is>
          <t>Pilar</t>
        </is>
      </c>
      <c r="F5" s="19" t="inlineStr">
        <is>
          <t>Slot</t>
        </is>
      </c>
      <c r="G5" s="19" t="inlineStr">
        <is>
          <t>Judul / Topik</t>
        </is>
      </c>
      <c r="H5" s="19" t="inlineStr">
        <is>
          <t>Biaya Iklan (Rp)</t>
        </is>
      </c>
      <c r="I5" s="19" t="inlineStr">
        <is>
          <t>Jangkauan</t>
        </is>
      </c>
      <c r="J5" s="19" t="inlineStr">
        <is>
          <t>Impresi</t>
        </is>
      </c>
      <c r="K5" s="19" t="inlineStr">
        <is>
          <t>Like</t>
        </is>
      </c>
      <c r="L5" s="19" t="inlineStr">
        <is>
          <t>Komentar</t>
        </is>
      </c>
      <c r="M5" s="19" t="inlineStr">
        <is>
          <t>Share</t>
        </is>
      </c>
      <c r="N5" s="19" t="inlineStr">
        <is>
          <t>Simpan</t>
        </is>
      </c>
      <c r="O5" s="19" t="inlineStr">
        <is>
          <t>Klik</t>
        </is>
      </c>
      <c r="P5" s="19" t="inlineStr">
        <is>
          <t>Interaksi</t>
        </is>
      </c>
      <c r="Q5" s="19" t="inlineStr">
        <is>
          <t>ER Jangkauan</t>
        </is>
      </c>
      <c r="R5" s="19" t="inlineStr">
        <is>
          <t>ER Pengikut</t>
        </is>
      </c>
      <c r="S5" s="19" t="inlineStr">
        <is>
          <t>Hari</t>
        </is>
      </c>
      <c r="T5" s="19" t="inlineStr">
        <is>
          <t>Bulan</t>
        </is>
      </c>
      <c r="U5" s="19" t="inlineStr">
        <is>
          <t>Biaya per Interaksi (Rp)</t>
        </is>
      </c>
    </row>
    <row r="6">
      <c r="A6" s="20" t="inlineStr">
        <is>
          <t>P-0001</t>
        </is>
      </c>
      <c r="B6" s="23" t="n">
        <v>46266</v>
      </c>
      <c r="C6" s="20" t="inlineStr">
        <is>
          <t>Instagram</t>
        </is>
      </c>
      <c r="D6" s="20" t="inlineStr">
        <is>
          <t>Foto</t>
        </is>
      </c>
      <c r="E6" s="20" t="inlineStr">
        <is>
          <t>Edukasi</t>
        </is>
      </c>
      <c r="F6" s="20" t="inlineStr">
        <is>
          <t>Sore</t>
        </is>
      </c>
      <c r="G6" s="20" t="inlineStr">
        <is>
          <t>Promo akhir bulan #46</t>
        </is>
      </c>
      <c r="H6" s="24" t="n">
        <v>1000000</v>
      </c>
      <c r="I6" s="24" t="n">
        <v>6523</v>
      </c>
      <c r="J6" s="24" t="n">
        <v>9441</v>
      </c>
      <c r="K6" s="24" t="n">
        <v>162</v>
      </c>
      <c r="L6" s="24" t="n">
        <v>14</v>
      </c>
      <c r="M6" s="24" t="n">
        <v>12</v>
      </c>
      <c r="N6" s="24" t="n">
        <v>20</v>
      </c>
      <c r="O6" s="24" t="n">
        <v>91</v>
      </c>
      <c r="P6" s="25">
        <f>IF(OR($B6="",$C6=""),"",SUM(K6:N6))</f>
        <v/>
      </c>
      <c r="Q6" s="26">
        <f>IF(OR(OR($B6="",$C6=""),I6=0),"",P6/I6)</f>
        <v/>
      </c>
      <c r="R6" s="26">
        <f>IF(OR($B6="",$C6=""),"",IFERROR(P6/INDEX(PARAMETER!$C$10:$C$14,MATCH(C6,PARAMETER!$B$10:$B$14,0)),""))</f>
        <v/>
      </c>
      <c r="S6" s="27">
        <f>IF($B6="","",CHOOSE(WEEKDAY(B6,2),"Sen","Sel","Rab","Kam","Jum","Sab","Min"))</f>
        <v/>
      </c>
      <c r="T6" s="28">
        <f>IF($B6="","",DATE(YEAR(B6),MONTH(B6),1))</f>
        <v/>
      </c>
      <c r="U6" s="25">
        <f>IF(OR(OR($B6="",$C6=""),H6=0,P6=0),"",H6/P6)</f>
        <v/>
      </c>
    </row>
    <row r="7">
      <c r="A7" s="20" t="inlineStr">
        <is>
          <t>P-0002</t>
        </is>
      </c>
      <c r="B7" s="23" t="n">
        <v>46268</v>
      </c>
      <c r="C7" s="20" t="inlineStr">
        <is>
          <t>Instagram</t>
        </is>
      </c>
      <c r="D7" s="20" t="inlineStr">
        <is>
          <t>Foto</t>
        </is>
      </c>
      <c r="E7" s="20" t="inlineStr">
        <is>
          <t>Bukti Sosial</t>
        </is>
      </c>
      <c r="F7" s="20" t="inlineStr">
        <is>
          <t>Sore</t>
        </is>
      </c>
      <c r="G7" s="20" t="inlineStr">
        <is>
          <t>Studi kasus pelanggan #38</t>
        </is>
      </c>
      <c r="H7" s="24" t="n">
        <v>300000</v>
      </c>
      <c r="I7" s="24" t="n">
        <v>14915</v>
      </c>
      <c r="J7" s="24" t="n">
        <v>19028</v>
      </c>
      <c r="K7" s="24" t="n">
        <v>623</v>
      </c>
      <c r="L7" s="24" t="n">
        <v>55</v>
      </c>
      <c r="M7" s="24" t="n">
        <v>47</v>
      </c>
      <c r="N7" s="24" t="n">
        <v>74</v>
      </c>
      <c r="O7" s="24" t="n">
        <v>135</v>
      </c>
      <c r="P7" s="25">
        <f>IF(OR($B7="",$C7=""),"",SUM(K7:N7))</f>
        <v/>
      </c>
      <c r="Q7" s="26">
        <f>IF(OR(OR($B7="",$C7=""),I7=0),"",P7/I7)</f>
        <v/>
      </c>
      <c r="R7" s="26">
        <f>IF(OR($B7="",$C7=""),"",IFERROR(P7/INDEX(PARAMETER!$C$10:$C$14,MATCH(C7,PARAMETER!$B$10:$B$14,0)),""))</f>
        <v/>
      </c>
      <c r="S7" s="27">
        <f>IF($B7="","",CHOOSE(WEEKDAY(B7,2),"Sen","Sel","Rab","Kam","Jum","Sab","Min"))</f>
        <v/>
      </c>
      <c r="T7" s="28">
        <f>IF($B7="","",DATE(YEAR(B7),MONTH(B7),1))</f>
        <v/>
      </c>
      <c r="U7" s="25">
        <f>IF(OR(OR($B7="",$C7=""),H7=0,P7=0),"",H7/P7)</f>
        <v/>
      </c>
    </row>
    <row r="8">
      <c r="A8" s="20" t="inlineStr">
        <is>
          <t>P-0003</t>
        </is>
      </c>
      <c r="B8" s="23" t="n">
        <v>46268</v>
      </c>
      <c r="C8" s="20" t="inlineStr">
        <is>
          <t>TikTok</t>
        </is>
      </c>
      <c r="D8" s="20" t="inlineStr">
        <is>
          <t>Foto</t>
        </is>
      </c>
      <c r="E8" s="20" t="inlineStr">
        <is>
          <t>Di Balik Layar</t>
        </is>
      </c>
      <c r="F8" s="20" t="inlineStr">
        <is>
          <t>Pagi</t>
        </is>
      </c>
      <c r="G8" s="20" t="inlineStr">
        <is>
          <t>Tips hemat #44</t>
        </is>
      </c>
      <c r="H8" s="24" t="n">
        <v>0</v>
      </c>
      <c r="I8" s="24" t="n">
        <v>29030</v>
      </c>
      <c r="J8" s="24" t="n">
        <v>36923</v>
      </c>
      <c r="K8" s="24" t="n">
        <v>1113</v>
      </c>
      <c r="L8" s="24" t="n">
        <v>99</v>
      </c>
      <c r="M8" s="24" t="n">
        <v>85</v>
      </c>
      <c r="N8" s="24" t="n">
        <v>130</v>
      </c>
      <c r="O8" s="24" t="n">
        <v>164</v>
      </c>
      <c r="P8" s="25">
        <f>IF(OR($B8="",$C8=""),"",SUM(K8:N8))</f>
        <v/>
      </c>
      <c r="Q8" s="26">
        <f>IF(OR(OR($B8="",$C8=""),I8=0),"",P8/I8)</f>
        <v/>
      </c>
      <c r="R8" s="26">
        <f>IF(OR($B8="",$C8=""),"",IFERROR(P8/INDEX(PARAMETER!$C$10:$C$14,MATCH(C8,PARAMETER!$B$10:$B$14,0)),""))</f>
        <v/>
      </c>
      <c r="S8" s="27">
        <f>IF($B8="","",CHOOSE(WEEKDAY(B8,2),"Sen","Sel","Rab","Kam","Jum","Sab","Min"))</f>
        <v/>
      </c>
      <c r="T8" s="28">
        <f>IF($B8="","",DATE(YEAR(B8),MONTH(B8),1))</f>
        <v/>
      </c>
      <c r="U8" s="25">
        <f>IF(OR(OR($B8="",$C8=""),H8=0,P8=0),"",H8/P8)</f>
        <v/>
      </c>
    </row>
    <row r="9">
      <c r="A9" s="20" t="inlineStr">
        <is>
          <t>P-0004</t>
        </is>
      </c>
      <c r="B9" s="23" t="n">
        <v>46270</v>
      </c>
      <c r="C9" s="20" t="inlineStr">
        <is>
          <t>Instagram</t>
        </is>
      </c>
      <c r="D9" s="20" t="inlineStr">
        <is>
          <t>Carousel</t>
        </is>
      </c>
      <c r="E9" s="20" t="inlineStr">
        <is>
          <t>Edukasi</t>
        </is>
      </c>
      <c r="F9" s="20" t="inlineStr">
        <is>
          <t>Siang</t>
        </is>
      </c>
      <c r="G9" s="20" t="inlineStr">
        <is>
          <t>Kuis interaktif #19</t>
        </is>
      </c>
      <c r="H9" s="24" t="n">
        <v>1000000</v>
      </c>
      <c r="I9" s="24" t="n">
        <v>11046</v>
      </c>
      <c r="J9" s="24" t="n">
        <v>15166</v>
      </c>
      <c r="K9" s="24" t="n">
        <v>425</v>
      </c>
      <c r="L9" s="24" t="n">
        <v>38</v>
      </c>
      <c r="M9" s="24" t="n">
        <v>32</v>
      </c>
      <c r="N9" s="24" t="n">
        <v>51</v>
      </c>
      <c r="O9" s="24" t="n">
        <v>212</v>
      </c>
      <c r="P9" s="25">
        <f>IF(OR($B9="",$C9=""),"",SUM(K9:N9))</f>
        <v/>
      </c>
      <c r="Q9" s="26">
        <f>IF(OR(OR($B9="",$C9=""),I9=0),"",P9/I9)</f>
        <v/>
      </c>
      <c r="R9" s="26">
        <f>IF(OR($B9="",$C9=""),"",IFERROR(P9/INDEX(PARAMETER!$C$10:$C$14,MATCH(C9,PARAMETER!$B$10:$B$14,0)),""))</f>
        <v/>
      </c>
      <c r="S9" s="27">
        <f>IF($B9="","",CHOOSE(WEEKDAY(B9,2),"Sen","Sel","Rab","Kam","Jum","Sab","Min"))</f>
        <v/>
      </c>
      <c r="T9" s="28">
        <f>IF($B9="","",DATE(YEAR(B9),MONTH(B9),1))</f>
        <v/>
      </c>
      <c r="U9" s="25">
        <f>IF(OR(OR($B9="",$C9=""),H9=0,P9=0),"",H9/P9)</f>
        <v/>
      </c>
    </row>
    <row r="10">
      <c r="A10" s="20" t="inlineStr">
        <is>
          <t>P-0005</t>
        </is>
      </c>
      <c r="B10" s="23" t="n">
        <v>46271</v>
      </c>
      <c r="C10" s="20" t="inlineStr">
        <is>
          <t>Instagram</t>
        </is>
      </c>
      <c r="D10" s="20" t="inlineStr">
        <is>
          <t>Carousel</t>
        </is>
      </c>
      <c r="E10" s="20" t="inlineStr">
        <is>
          <t>Bukti Sosial</t>
        </is>
      </c>
      <c r="F10" s="20" t="inlineStr">
        <is>
          <t>Siang</t>
        </is>
      </c>
      <c r="G10" s="20" t="inlineStr">
        <is>
          <t>Panduan singkat #21</t>
        </is>
      </c>
      <c r="H10" s="24" t="n">
        <v>0</v>
      </c>
      <c r="I10" s="24" t="n">
        <v>12774</v>
      </c>
      <c r="J10" s="24" t="n">
        <v>14742</v>
      </c>
      <c r="K10" s="24" t="n">
        <v>498</v>
      </c>
      <c r="L10" s="24" t="n">
        <v>44</v>
      </c>
      <c r="M10" s="24" t="n">
        <v>38</v>
      </c>
      <c r="N10" s="24" t="n">
        <v>59</v>
      </c>
      <c r="O10" s="24" t="n">
        <v>140</v>
      </c>
      <c r="P10" s="25">
        <f>IF(OR($B10="",$C10=""),"",SUM(K10:N10))</f>
        <v/>
      </c>
      <c r="Q10" s="26">
        <f>IF(OR(OR($B10="",$C10=""),I10=0),"",P10/I10)</f>
        <v/>
      </c>
      <c r="R10" s="26">
        <f>IF(OR($B10="",$C10=""),"",IFERROR(P10/INDEX(PARAMETER!$C$10:$C$14,MATCH(C10,PARAMETER!$B$10:$B$14,0)),""))</f>
        <v/>
      </c>
      <c r="S10" s="27">
        <f>IF($B10="","",CHOOSE(WEEKDAY(B10,2),"Sen","Sel","Rab","Kam","Jum","Sab","Min"))</f>
        <v/>
      </c>
      <c r="T10" s="28">
        <f>IF($B10="","",DATE(YEAR(B10),MONTH(B10),1))</f>
        <v/>
      </c>
      <c r="U10" s="25">
        <f>IF(OR(OR($B10="",$C10=""),H10=0,P10=0),"",H10/P10)</f>
        <v/>
      </c>
    </row>
    <row r="11">
      <c r="A11" s="20" t="inlineStr">
        <is>
          <t>P-0006</t>
        </is>
      </c>
      <c r="B11" s="23" t="n">
        <v>46271</v>
      </c>
      <c r="C11" s="20" t="inlineStr">
        <is>
          <t>TikTok</t>
        </is>
      </c>
      <c r="D11" s="20" t="inlineStr">
        <is>
          <t>Story</t>
        </is>
      </c>
      <c r="E11" s="20" t="inlineStr">
        <is>
          <t>Promosi</t>
        </is>
      </c>
      <c r="F11" s="20" t="inlineStr">
        <is>
          <t>Malam</t>
        </is>
      </c>
      <c r="G11" s="20" t="inlineStr">
        <is>
          <t>Kuis interaktif #24</t>
        </is>
      </c>
      <c r="H11" s="24" t="n">
        <v>0</v>
      </c>
      <c r="I11" s="24" t="n">
        <v>8301</v>
      </c>
      <c r="J11" s="24" t="n">
        <v>9836</v>
      </c>
      <c r="K11" s="24" t="n">
        <v>296</v>
      </c>
      <c r="L11" s="24" t="n">
        <v>26</v>
      </c>
      <c r="M11" s="24" t="n">
        <v>22</v>
      </c>
      <c r="N11" s="24" t="n">
        <v>36</v>
      </c>
      <c r="O11" s="24" t="n">
        <v>156</v>
      </c>
      <c r="P11" s="25">
        <f>IF(OR($B11="",$C11=""),"",SUM(K11:N11))</f>
        <v/>
      </c>
      <c r="Q11" s="26">
        <f>IF(OR(OR($B11="",$C11=""),I11=0),"",P11/I11)</f>
        <v/>
      </c>
      <c r="R11" s="26">
        <f>IF(OR($B11="",$C11=""),"",IFERROR(P11/INDEX(PARAMETER!$C$10:$C$14,MATCH(C11,PARAMETER!$B$10:$B$14,0)),""))</f>
        <v/>
      </c>
      <c r="S11" s="27">
        <f>IF($B11="","",CHOOSE(WEEKDAY(B11,2),"Sen","Sel","Rab","Kam","Jum","Sab","Min"))</f>
        <v/>
      </c>
      <c r="T11" s="28">
        <f>IF($B11="","",DATE(YEAR(B11),MONTH(B11),1))</f>
        <v/>
      </c>
      <c r="U11" s="25">
        <f>IF(OR(OR($B11="",$C11=""),H11=0,P11=0),"",H11/P11)</f>
        <v/>
      </c>
    </row>
    <row r="12">
      <c r="A12" s="20" t="inlineStr">
        <is>
          <t>P-0007</t>
        </is>
      </c>
      <c r="B12" s="23" t="n">
        <v>46272</v>
      </c>
      <c r="C12" s="20" t="inlineStr">
        <is>
          <t>Instagram</t>
        </is>
      </c>
      <c r="D12" s="20" t="inlineStr">
        <is>
          <t>Teks</t>
        </is>
      </c>
      <c r="E12" s="20" t="inlineStr">
        <is>
          <t>Bukti Sosial</t>
        </is>
      </c>
      <c r="F12" s="20" t="inlineStr">
        <is>
          <t>Siang</t>
        </is>
      </c>
      <c r="G12" s="20" t="inlineStr">
        <is>
          <t>Panduan singkat #13</t>
        </is>
      </c>
      <c r="H12" s="24" t="n">
        <v>1000000</v>
      </c>
      <c r="I12" s="24" t="n">
        <v>5353</v>
      </c>
      <c r="J12" s="24" t="n">
        <v>7525</v>
      </c>
      <c r="K12" s="24" t="n">
        <v>173</v>
      </c>
      <c r="L12" s="24" t="n">
        <v>15</v>
      </c>
      <c r="M12" s="24" t="n">
        <v>13</v>
      </c>
      <c r="N12" s="24" t="n">
        <v>21</v>
      </c>
      <c r="O12" s="24" t="n">
        <v>36</v>
      </c>
      <c r="P12" s="25">
        <f>IF(OR($B12="",$C12=""),"",SUM(K12:N12))</f>
        <v/>
      </c>
      <c r="Q12" s="26">
        <f>IF(OR(OR($B12="",$C12=""),I12=0),"",P12/I12)</f>
        <v/>
      </c>
      <c r="R12" s="26">
        <f>IF(OR($B12="",$C12=""),"",IFERROR(P12/INDEX(PARAMETER!$C$10:$C$14,MATCH(C12,PARAMETER!$B$10:$B$14,0)),""))</f>
        <v/>
      </c>
      <c r="S12" s="27">
        <f>IF($B12="","",CHOOSE(WEEKDAY(B12,2),"Sen","Sel","Rab","Kam","Jum","Sab","Min"))</f>
        <v/>
      </c>
      <c r="T12" s="28">
        <f>IF($B12="","",DATE(YEAR(B12),MONTH(B12),1))</f>
        <v/>
      </c>
      <c r="U12" s="25">
        <f>IF(OR(OR($B12="",$C12=""),H12=0,P12=0),"",H12/P12)</f>
        <v/>
      </c>
    </row>
    <row r="13">
      <c r="A13" s="20" t="inlineStr">
        <is>
          <t>P-0008</t>
        </is>
      </c>
      <c r="B13" s="23" t="n">
        <v>46272</v>
      </c>
      <c r="C13" s="20" t="inlineStr">
        <is>
          <t>Instagram</t>
        </is>
      </c>
      <c r="D13" s="20" t="inlineStr">
        <is>
          <t>Foto</t>
        </is>
      </c>
      <c r="E13" s="20" t="inlineStr">
        <is>
          <t>Bukti Sosial</t>
        </is>
      </c>
      <c r="F13" s="20" t="inlineStr">
        <is>
          <t>Siang</t>
        </is>
      </c>
      <c r="G13" s="20" t="inlineStr">
        <is>
          <t>Testimoni #34</t>
        </is>
      </c>
      <c r="H13" s="24" t="n">
        <v>150000</v>
      </c>
      <c r="I13" s="24" t="n">
        <v>13396</v>
      </c>
      <c r="J13" s="24" t="n">
        <v>16113</v>
      </c>
      <c r="K13" s="24" t="n">
        <v>179</v>
      </c>
      <c r="L13" s="24" t="n">
        <v>16</v>
      </c>
      <c r="M13" s="24" t="n">
        <v>13</v>
      </c>
      <c r="N13" s="24" t="n">
        <v>22</v>
      </c>
      <c r="O13" s="24" t="n">
        <v>147</v>
      </c>
      <c r="P13" s="25">
        <f>IF(OR($B13="",$C13=""),"",SUM(K13:N13))</f>
        <v/>
      </c>
      <c r="Q13" s="26">
        <f>IF(OR(OR($B13="",$C13=""),I13=0),"",P13/I13)</f>
        <v/>
      </c>
      <c r="R13" s="26">
        <f>IF(OR($B13="",$C13=""),"",IFERROR(P13/INDEX(PARAMETER!$C$10:$C$14,MATCH(C13,PARAMETER!$B$10:$B$14,0)),""))</f>
        <v/>
      </c>
      <c r="S13" s="27">
        <f>IF($B13="","",CHOOSE(WEEKDAY(B13,2),"Sen","Sel","Rab","Kam","Jum","Sab","Min"))</f>
        <v/>
      </c>
      <c r="T13" s="28">
        <f>IF($B13="","",DATE(YEAR(B13),MONTH(B13),1))</f>
        <v/>
      </c>
      <c r="U13" s="25">
        <f>IF(OR(OR($B13="",$C13=""),H13=0,P13=0),"",H13/P13)</f>
        <v/>
      </c>
    </row>
    <row r="14">
      <c r="A14" s="20" t="inlineStr">
        <is>
          <t>P-0009</t>
        </is>
      </c>
      <c r="B14" s="23" t="n">
        <v>46273</v>
      </c>
      <c r="C14" s="20" t="inlineStr">
        <is>
          <t>Instagram</t>
        </is>
      </c>
      <c r="D14" s="20" t="inlineStr">
        <is>
          <t>Reels</t>
        </is>
      </c>
      <c r="E14" s="20" t="inlineStr">
        <is>
          <t>Edukasi</t>
        </is>
      </c>
      <c r="F14" s="20" t="inlineStr">
        <is>
          <t>Siang</t>
        </is>
      </c>
      <c r="G14" s="20" t="inlineStr">
        <is>
          <t>Tanya jawab #10</t>
        </is>
      </c>
      <c r="H14" s="24" t="n">
        <v>0</v>
      </c>
      <c r="I14" s="24" t="n">
        <v>9186</v>
      </c>
      <c r="J14" s="24" t="n">
        <v>11897</v>
      </c>
      <c r="K14" s="24" t="n">
        <v>218</v>
      </c>
      <c r="L14" s="24" t="n">
        <v>19</v>
      </c>
      <c r="M14" s="24" t="n">
        <v>16</v>
      </c>
      <c r="N14" s="24" t="n">
        <v>27</v>
      </c>
      <c r="O14" s="24" t="n">
        <v>105</v>
      </c>
      <c r="P14" s="25">
        <f>IF(OR($B14="",$C14=""),"",SUM(K14:N14))</f>
        <v/>
      </c>
      <c r="Q14" s="26">
        <f>IF(OR(OR($B14="",$C14=""),I14=0),"",P14/I14)</f>
        <v/>
      </c>
      <c r="R14" s="26">
        <f>IF(OR($B14="",$C14=""),"",IFERROR(P14/INDEX(PARAMETER!$C$10:$C$14,MATCH(C14,PARAMETER!$B$10:$B$14,0)),""))</f>
        <v/>
      </c>
      <c r="S14" s="27">
        <f>IF($B14="","",CHOOSE(WEEKDAY(B14,2),"Sen","Sel","Rab","Kam","Jum","Sab","Min"))</f>
        <v/>
      </c>
      <c r="T14" s="28">
        <f>IF($B14="","",DATE(YEAR(B14),MONTH(B14),1))</f>
        <v/>
      </c>
      <c r="U14" s="25">
        <f>IF(OR(OR($B14="",$C14=""),H14=0,P14=0),"",H14/P14)</f>
        <v/>
      </c>
    </row>
    <row r="15">
      <c r="A15" s="20" t="inlineStr">
        <is>
          <t>P-0010</t>
        </is>
      </c>
      <c r="B15" s="23" t="n">
        <v>46278</v>
      </c>
      <c r="C15" s="20" t="inlineStr">
        <is>
          <t>Instagram</t>
        </is>
      </c>
      <c r="D15" s="20" t="inlineStr">
        <is>
          <t>Video</t>
        </is>
      </c>
      <c r="E15" s="20" t="inlineStr">
        <is>
          <t>Bukti Sosial</t>
        </is>
      </c>
      <c r="F15" s="20" t="inlineStr">
        <is>
          <t>Siang</t>
        </is>
      </c>
      <c r="G15" s="20" t="inlineStr">
        <is>
          <t>Tips hemat #29</t>
        </is>
      </c>
      <c r="H15" s="24" t="n">
        <v>300000</v>
      </c>
      <c r="I15" s="24" t="n">
        <v>11748</v>
      </c>
      <c r="J15" s="24" t="n">
        <v>15884</v>
      </c>
      <c r="K15" s="24" t="n">
        <v>330</v>
      </c>
      <c r="L15" s="24" t="n">
        <v>29</v>
      </c>
      <c r="M15" s="24" t="n">
        <v>25</v>
      </c>
      <c r="N15" s="24" t="n">
        <v>40</v>
      </c>
      <c r="O15" s="24" t="n">
        <v>209</v>
      </c>
      <c r="P15" s="25">
        <f>IF(OR($B15="",$C15=""),"",SUM(K15:N15))</f>
        <v/>
      </c>
      <c r="Q15" s="26">
        <f>IF(OR(OR($B15="",$C15=""),I15=0),"",P15/I15)</f>
        <v/>
      </c>
      <c r="R15" s="26">
        <f>IF(OR($B15="",$C15=""),"",IFERROR(P15/INDEX(PARAMETER!$C$10:$C$14,MATCH(C15,PARAMETER!$B$10:$B$14,0)),""))</f>
        <v/>
      </c>
      <c r="S15" s="27">
        <f>IF($B15="","",CHOOSE(WEEKDAY(B15,2),"Sen","Sel","Rab","Kam","Jum","Sab","Min"))</f>
        <v/>
      </c>
      <c r="T15" s="28">
        <f>IF($B15="","",DATE(YEAR(B15),MONTH(B15),1))</f>
        <v/>
      </c>
      <c r="U15" s="25">
        <f>IF(OR(OR($B15="",$C15=""),H15=0,P15=0),"",H15/P15)</f>
        <v/>
      </c>
    </row>
    <row r="16">
      <c r="A16" s="20" t="inlineStr">
        <is>
          <t>P-0011</t>
        </is>
      </c>
      <c r="B16" s="23" t="n">
        <v>46279</v>
      </c>
      <c r="C16" s="20" t="inlineStr">
        <is>
          <t>TikTok</t>
        </is>
      </c>
      <c r="D16" s="20" t="inlineStr">
        <is>
          <t>Reels</t>
        </is>
      </c>
      <c r="E16" s="20" t="inlineStr">
        <is>
          <t>Promosi</t>
        </is>
      </c>
      <c r="F16" s="20" t="inlineStr">
        <is>
          <t>Pagi</t>
        </is>
      </c>
      <c r="G16" s="20" t="inlineStr">
        <is>
          <t>Tur kantor #7</t>
        </is>
      </c>
      <c r="H16" s="24" t="n">
        <v>300000</v>
      </c>
      <c r="I16" s="24" t="n">
        <v>58188</v>
      </c>
      <c r="J16" s="24" t="n">
        <v>82548</v>
      </c>
      <c r="K16" s="24" t="n">
        <v>2613</v>
      </c>
      <c r="L16" s="24" t="n">
        <v>234</v>
      </c>
      <c r="M16" s="24" t="n">
        <v>201</v>
      </c>
      <c r="N16" s="24" t="n">
        <v>303</v>
      </c>
      <c r="O16" s="24" t="n">
        <v>254</v>
      </c>
      <c r="P16" s="25">
        <f>IF(OR($B16="",$C16=""),"",SUM(K16:N16))</f>
        <v/>
      </c>
      <c r="Q16" s="26">
        <f>IF(OR(OR($B16="",$C16=""),I16=0),"",P16/I16)</f>
        <v/>
      </c>
      <c r="R16" s="26">
        <f>IF(OR($B16="",$C16=""),"",IFERROR(P16/INDEX(PARAMETER!$C$10:$C$14,MATCH(C16,PARAMETER!$B$10:$B$14,0)),""))</f>
        <v/>
      </c>
      <c r="S16" s="27">
        <f>IF($B16="","",CHOOSE(WEEKDAY(B16,2),"Sen","Sel","Rab","Kam","Jum","Sab","Min"))</f>
        <v/>
      </c>
      <c r="T16" s="28">
        <f>IF($B16="","",DATE(YEAR(B16),MONTH(B16),1))</f>
        <v/>
      </c>
      <c r="U16" s="25">
        <f>IF(OR(OR($B16="",$C16=""),H16=0,P16=0),"",H16/P16)</f>
        <v/>
      </c>
    </row>
    <row r="17">
      <c r="A17" s="20" t="inlineStr">
        <is>
          <t>P-0012</t>
        </is>
      </c>
      <c r="B17" s="23" t="n">
        <v>46280</v>
      </c>
      <c r="C17" s="20" t="inlineStr">
        <is>
          <t>Instagram</t>
        </is>
      </c>
      <c r="D17" s="20" t="inlineStr">
        <is>
          <t>Foto</t>
        </is>
      </c>
      <c r="E17" s="20" t="inlineStr">
        <is>
          <t>Bukti Sosial</t>
        </is>
      </c>
      <c r="F17" s="20" t="inlineStr">
        <is>
          <t>Pagi</t>
        </is>
      </c>
      <c r="G17" s="20" t="inlineStr">
        <is>
          <t>Tanya jawab #17</t>
        </is>
      </c>
      <c r="H17" s="24" t="n">
        <v>0</v>
      </c>
      <c r="I17" s="24" t="n">
        <v>7330</v>
      </c>
      <c r="J17" s="24" t="n">
        <v>10863</v>
      </c>
      <c r="K17" s="24" t="n">
        <v>351</v>
      </c>
      <c r="L17" s="24" t="n">
        <v>31</v>
      </c>
      <c r="M17" s="24" t="n">
        <v>27</v>
      </c>
      <c r="N17" s="24" t="n">
        <v>42</v>
      </c>
      <c r="O17" s="24" t="n">
        <v>127</v>
      </c>
      <c r="P17" s="25">
        <f>IF(OR($B17="",$C17=""),"",SUM(K17:N17))</f>
        <v/>
      </c>
      <c r="Q17" s="26">
        <f>IF(OR(OR($B17="",$C17=""),I17=0),"",P17/I17)</f>
        <v/>
      </c>
      <c r="R17" s="26">
        <f>IF(OR($B17="",$C17=""),"",IFERROR(P17/INDEX(PARAMETER!$C$10:$C$14,MATCH(C17,PARAMETER!$B$10:$B$14,0)),""))</f>
        <v/>
      </c>
      <c r="S17" s="27">
        <f>IF($B17="","",CHOOSE(WEEKDAY(B17,2),"Sen","Sel","Rab","Kam","Jum","Sab","Min"))</f>
        <v/>
      </c>
      <c r="T17" s="28">
        <f>IF($B17="","",DATE(YEAR(B17),MONTH(B17),1))</f>
        <v/>
      </c>
      <c r="U17" s="25">
        <f>IF(OR(OR($B17="",$C17=""),H17=0,P17=0),"",H17/P17)</f>
        <v/>
      </c>
    </row>
    <row r="18">
      <c r="A18" s="20" t="inlineStr">
        <is>
          <t>P-0013</t>
        </is>
      </c>
      <c r="B18" s="23" t="n">
        <v>46280</v>
      </c>
      <c r="C18" s="20" t="inlineStr">
        <is>
          <t>TikTok</t>
        </is>
      </c>
      <c r="D18" s="20" t="inlineStr">
        <is>
          <t>Carousel</t>
        </is>
      </c>
      <c r="E18" s="20" t="inlineStr">
        <is>
          <t>Di Balik Layar</t>
        </is>
      </c>
      <c r="F18" s="20" t="inlineStr">
        <is>
          <t>Malam</t>
        </is>
      </c>
      <c r="G18" s="20" t="inlineStr">
        <is>
          <t>Panduan singkat #27</t>
        </is>
      </c>
      <c r="H18" s="24" t="n">
        <v>0</v>
      </c>
      <c r="I18" s="24" t="n">
        <v>77342</v>
      </c>
      <c r="J18" s="24" t="n">
        <v>117809</v>
      </c>
      <c r="K18" s="24" t="n">
        <v>2893</v>
      </c>
      <c r="L18" s="24" t="n">
        <v>259</v>
      </c>
      <c r="M18" s="24" t="n">
        <v>222</v>
      </c>
      <c r="N18" s="24" t="n">
        <v>336</v>
      </c>
      <c r="O18" s="24" t="n">
        <v>387</v>
      </c>
      <c r="P18" s="25">
        <f>IF(OR($B18="",$C18=""),"",SUM(K18:N18))</f>
        <v/>
      </c>
      <c r="Q18" s="26">
        <f>IF(OR(OR($B18="",$C18=""),I18=0),"",P18/I18)</f>
        <v/>
      </c>
      <c r="R18" s="26">
        <f>IF(OR($B18="",$C18=""),"",IFERROR(P18/INDEX(PARAMETER!$C$10:$C$14,MATCH(C18,PARAMETER!$B$10:$B$14,0)),""))</f>
        <v/>
      </c>
      <c r="S18" s="27">
        <f>IF($B18="","",CHOOSE(WEEKDAY(B18,2),"Sen","Sel","Rab","Kam","Jum","Sab","Min"))</f>
        <v/>
      </c>
      <c r="T18" s="28">
        <f>IF($B18="","",DATE(YEAR(B18),MONTH(B18),1))</f>
        <v/>
      </c>
      <c r="U18" s="25">
        <f>IF(OR(OR($B18="",$C18=""),H18=0,P18=0),"",H18/P18)</f>
        <v/>
      </c>
    </row>
    <row r="19">
      <c r="A19" s="20" t="inlineStr">
        <is>
          <t>P-0014</t>
        </is>
      </c>
      <c r="B19" s="23" t="n">
        <v>46280</v>
      </c>
      <c r="C19" s="20" t="inlineStr">
        <is>
          <t>TikTok</t>
        </is>
      </c>
      <c r="D19" s="20" t="inlineStr">
        <is>
          <t>Reels</t>
        </is>
      </c>
      <c r="E19" s="20" t="inlineStr">
        <is>
          <t>Edukasi</t>
        </is>
      </c>
      <c r="F19" s="20" t="inlineStr">
        <is>
          <t>Siang</t>
        </is>
      </c>
      <c r="G19" s="20" t="inlineStr">
        <is>
          <t>Tips hemat #39</t>
        </is>
      </c>
      <c r="H19" s="24" t="n">
        <v>0</v>
      </c>
      <c r="I19" s="24" t="n">
        <v>63489</v>
      </c>
      <c r="J19" s="24" t="n">
        <v>83292</v>
      </c>
      <c r="K19" s="24" t="n">
        <v>2338</v>
      </c>
      <c r="L19" s="24" t="n">
        <v>209</v>
      </c>
      <c r="M19" s="24" t="n">
        <v>179</v>
      </c>
      <c r="N19" s="24" t="n">
        <v>272</v>
      </c>
      <c r="O19" s="24" t="n">
        <v>898</v>
      </c>
      <c r="P19" s="25">
        <f>IF(OR($B19="",$C19=""),"",SUM(K19:N19))</f>
        <v/>
      </c>
      <c r="Q19" s="26">
        <f>IF(OR(OR($B19="",$C19=""),I19=0),"",P19/I19)</f>
        <v/>
      </c>
      <c r="R19" s="26">
        <f>IF(OR($B19="",$C19=""),"",IFERROR(P19/INDEX(PARAMETER!$C$10:$C$14,MATCH(C19,PARAMETER!$B$10:$B$14,0)),""))</f>
        <v/>
      </c>
      <c r="S19" s="27">
        <f>IF($B19="","",CHOOSE(WEEKDAY(B19,2),"Sen","Sel","Rab","Kam","Jum","Sab","Min"))</f>
        <v/>
      </c>
      <c r="T19" s="28">
        <f>IF($B19="","",DATE(YEAR(B19),MONTH(B19),1))</f>
        <v/>
      </c>
      <c r="U19" s="25">
        <f>IF(OR(OR($B19="",$C19=""),H19=0,P19=0),"",H19/P19)</f>
        <v/>
      </c>
    </row>
    <row r="20">
      <c r="A20" s="20" t="inlineStr">
        <is>
          <t>P-0015</t>
        </is>
      </c>
      <c r="B20" s="23" t="n">
        <v>46282</v>
      </c>
      <c r="C20" s="20" t="inlineStr">
        <is>
          <t>TikTok</t>
        </is>
      </c>
      <c r="D20" s="20" t="inlineStr">
        <is>
          <t>Carousel</t>
        </is>
      </c>
      <c r="E20" s="20" t="inlineStr">
        <is>
          <t>Promosi</t>
        </is>
      </c>
      <c r="F20" s="20" t="inlineStr">
        <is>
          <t>Malam</t>
        </is>
      </c>
      <c r="G20" s="20" t="inlineStr">
        <is>
          <t>Peluncuran produk #23</t>
        </is>
      </c>
      <c r="H20" s="24" t="n">
        <v>0</v>
      </c>
      <c r="I20" s="24" t="n">
        <v>47583</v>
      </c>
      <c r="J20" s="24" t="n">
        <v>73826</v>
      </c>
      <c r="K20" s="24" t="n">
        <v>1639</v>
      </c>
      <c r="L20" s="24" t="n">
        <v>147</v>
      </c>
      <c r="M20" s="24" t="n">
        <v>126</v>
      </c>
      <c r="N20" s="24" t="n">
        <v>190</v>
      </c>
      <c r="O20" s="24" t="n">
        <v>450</v>
      </c>
      <c r="P20" s="25">
        <f>IF(OR($B20="",$C20=""),"",SUM(K20:N20))</f>
        <v/>
      </c>
      <c r="Q20" s="26">
        <f>IF(OR(OR($B20="",$C20=""),I20=0),"",P20/I20)</f>
        <v/>
      </c>
      <c r="R20" s="26">
        <f>IF(OR($B20="",$C20=""),"",IFERROR(P20/INDEX(PARAMETER!$C$10:$C$14,MATCH(C20,PARAMETER!$B$10:$B$14,0)),""))</f>
        <v/>
      </c>
      <c r="S20" s="27">
        <f>IF($B20="","",CHOOSE(WEEKDAY(B20,2),"Sen","Sel","Rab","Kam","Jum","Sab","Min"))</f>
        <v/>
      </c>
      <c r="T20" s="28">
        <f>IF($B20="","",DATE(YEAR(B20),MONTH(B20),1))</f>
        <v/>
      </c>
      <c r="U20" s="25">
        <f>IF(OR(OR($B20="",$C20=""),H20=0,P20=0),"",H20/P20)</f>
        <v/>
      </c>
    </row>
    <row r="21">
      <c r="A21" s="20" t="inlineStr">
        <is>
          <t>P-0016</t>
        </is>
      </c>
      <c r="B21" s="23" t="n">
        <v>46282</v>
      </c>
      <c r="C21" s="20" t="inlineStr">
        <is>
          <t>Instagram</t>
        </is>
      </c>
      <c r="D21" s="20" t="inlineStr">
        <is>
          <t>Reels</t>
        </is>
      </c>
      <c r="E21" s="20" t="inlineStr">
        <is>
          <t>Bukti Sosial</t>
        </is>
      </c>
      <c r="F21" s="20" t="inlineStr">
        <is>
          <t>Malam</t>
        </is>
      </c>
      <c r="G21" s="20" t="inlineStr">
        <is>
          <t>Tur kantor #45</t>
        </is>
      </c>
      <c r="H21" s="24" t="n">
        <v>500000</v>
      </c>
      <c r="I21" s="24" t="n">
        <v>14346</v>
      </c>
      <c r="J21" s="24" t="n">
        <v>18693</v>
      </c>
      <c r="K21" s="24" t="n">
        <v>921</v>
      </c>
      <c r="L21" s="24" t="n">
        <v>82</v>
      </c>
      <c r="M21" s="24" t="n">
        <v>70</v>
      </c>
      <c r="N21" s="24" t="n">
        <v>108</v>
      </c>
      <c r="O21" s="24" t="n">
        <v>157</v>
      </c>
      <c r="P21" s="25">
        <f>IF(OR($B21="",$C21=""),"",SUM(K21:N21))</f>
        <v/>
      </c>
      <c r="Q21" s="26">
        <f>IF(OR(OR($B21="",$C21=""),I21=0),"",P21/I21)</f>
        <v/>
      </c>
      <c r="R21" s="26">
        <f>IF(OR($B21="",$C21=""),"",IFERROR(P21/INDEX(PARAMETER!$C$10:$C$14,MATCH(C21,PARAMETER!$B$10:$B$14,0)),""))</f>
        <v/>
      </c>
      <c r="S21" s="27">
        <f>IF($B21="","",CHOOSE(WEEKDAY(B21,2),"Sen","Sel","Rab","Kam","Jum","Sab","Min"))</f>
        <v/>
      </c>
      <c r="T21" s="28">
        <f>IF($B21="","",DATE(YEAR(B21),MONTH(B21),1))</f>
        <v/>
      </c>
      <c r="U21" s="25">
        <f>IF(OR(OR($B21="",$C21=""),H21=0,P21=0),"",H21/P21)</f>
        <v/>
      </c>
    </row>
    <row r="22">
      <c r="A22" s="20" t="inlineStr">
        <is>
          <t>P-0017</t>
        </is>
      </c>
      <c r="B22" s="23" t="n">
        <v>46283</v>
      </c>
      <c r="C22" s="20" t="inlineStr">
        <is>
          <t>TikTok</t>
        </is>
      </c>
      <c r="D22" s="20" t="inlineStr">
        <is>
          <t>Teks</t>
        </is>
      </c>
      <c r="E22" s="20" t="inlineStr">
        <is>
          <t>Edukasi</t>
        </is>
      </c>
      <c r="F22" s="20" t="inlineStr">
        <is>
          <t>Malam</t>
        </is>
      </c>
      <c r="G22" s="20" t="inlineStr">
        <is>
          <t>Promo akhir bulan #22</t>
        </is>
      </c>
      <c r="H22" s="24" t="n">
        <v>0</v>
      </c>
      <c r="I22" s="24" t="n">
        <v>27588</v>
      </c>
      <c r="J22" s="24" t="n">
        <v>31898</v>
      </c>
      <c r="K22" s="24" t="n">
        <v>966</v>
      </c>
      <c r="L22" s="24" t="n">
        <v>86</v>
      </c>
      <c r="M22" s="24" t="n">
        <v>74</v>
      </c>
      <c r="N22" s="24" t="n">
        <v>113</v>
      </c>
      <c r="O22" s="24" t="n">
        <v>473</v>
      </c>
      <c r="P22" s="25">
        <f>IF(OR($B22="",$C22=""),"",SUM(K22:N22))</f>
        <v/>
      </c>
      <c r="Q22" s="26">
        <f>IF(OR(OR($B22="",$C22=""),I22=0),"",P22/I22)</f>
        <v/>
      </c>
      <c r="R22" s="26">
        <f>IF(OR($B22="",$C22=""),"",IFERROR(P22/INDEX(PARAMETER!$C$10:$C$14,MATCH(C22,PARAMETER!$B$10:$B$14,0)),""))</f>
        <v/>
      </c>
      <c r="S22" s="27">
        <f>IF($B22="","",CHOOSE(WEEKDAY(B22,2),"Sen","Sel","Rab","Kam","Jum","Sab","Min"))</f>
        <v/>
      </c>
      <c r="T22" s="28">
        <f>IF($B22="","",DATE(YEAR(B22),MONTH(B22),1))</f>
        <v/>
      </c>
      <c r="U22" s="25">
        <f>IF(OR(OR($B22="",$C22=""),H22=0,P22=0),"",H22/P22)</f>
        <v/>
      </c>
    </row>
    <row r="23">
      <c r="A23" s="20" t="inlineStr">
        <is>
          <t>P-0018</t>
        </is>
      </c>
      <c r="B23" s="23" t="n">
        <v>46283</v>
      </c>
      <c r="C23" s="20" t="inlineStr">
        <is>
          <t>TikTok</t>
        </is>
      </c>
      <c r="D23" s="20" t="inlineStr">
        <is>
          <t>Foto</t>
        </is>
      </c>
      <c r="E23" s="20" t="inlineStr">
        <is>
          <t>Di Balik Layar</t>
        </is>
      </c>
      <c r="F23" s="20" t="inlineStr">
        <is>
          <t>Malam</t>
        </is>
      </c>
      <c r="G23" s="20" t="inlineStr">
        <is>
          <t>Testimoni #50</t>
        </is>
      </c>
      <c r="H23" s="24" t="n">
        <v>1000000</v>
      </c>
      <c r="I23" s="24" t="n">
        <v>29283</v>
      </c>
      <c r="J23" s="24" t="n">
        <v>44599</v>
      </c>
      <c r="K23" s="24" t="n">
        <v>1084</v>
      </c>
      <c r="L23" s="24" t="n">
        <v>97</v>
      </c>
      <c r="M23" s="24" t="n">
        <v>83</v>
      </c>
      <c r="N23" s="24" t="n">
        <v>127</v>
      </c>
      <c r="O23" s="24" t="n">
        <v>289</v>
      </c>
      <c r="P23" s="25">
        <f>IF(OR($B23="",$C23=""),"",SUM(K23:N23))</f>
        <v/>
      </c>
      <c r="Q23" s="26">
        <f>IF(OR(OR($B23="",$C23=""),I23=0),"",P23/I23)</f>
        <v/>
      </c>
      <c r="R23" s="26">
        <f>IF(OR($B23="",$C23=""),"",IFERROR(P23/INDEX(PARAMETER!$C$10:$C$14,MATCH(C23,PARAMETER!$B$10:$B$14,0)),""))</f>
        <v/>
      </c>
      <c r="S23" s="27">
        <f>IF($B23="","",CHOOSE(WEEKDAY(B23,2),"Sen","Sel","Rab","Kam","Jum","Sab","Min"))</f>
        <v/>
      </c>
      <c r="T23" s="28">
        <f>IF($B23="","",DATE(YEAR(B23),MONTH(B23),1))</f>
        <v/>
      </c>
      <c r="U23" s="25">
        <f>IF(OR(OR($B23="",$C23=""),H23=0,P23=0),"",H23/P23)</f>
        <v/>
      </c>
    </row>
    <row r="24">
      <c r="A24" s="20" t="inlineStr">
        <is>
          <t>P-0019</t>
        </is>
      </c>
      <c r="B24" s="23" t="n">
        <v>46284</v>
      </c>
      <c r="C24" s="20" t="inlineStr">
        <is>
          <t>Instagram</t>
        </is>
      </c>
      <c r="D24" s="20" t="inlineStr">
        <is>
          <t>Teks</t>
        </is>
      </c>
      <c r="E24" s="20" t="inlineStr">
        <is>
          <t>Edukasi</t>
        </is>
      </c>
      <c r="F24" s="20" t="inlineStr">
        <is>
          <t>Malam</t>
        </is>
      </c>
      <c r="G24" s="20" t="inlineStr">
        <is>
          <t>Panduan singkat #26</t>
        </is>
      </c>
      <c r="H24" s="24" t="n">
        <v>500000</v>
      </c>
      <c r="I24" s="24" t="n">
        <v>13827</v>
      </c>
      <c r="J24" s="24" t="n">
        <v>16133</v>
      </c>
      <c r="K24" s="24" t="n">
        <v>539</v>
      </c>
      <c r="L24" s="24" t="n">
        <v>48</v>
      </c>
      <c r="M24" s="24" t="n">
        <v>41</v>
      </c>
      <c r="N24" s="24" t="n">
        <v>64</v>
      </c>
      <c r="O24" s="24" t="n">
        <v>78</v>
      </c>
      <c r="P24" s="25">
        <f>IF(OR($B24="",$C24=""),"",SUM(K24:N24))</f>
        <v/>
      </c>
      <c r="Q24" s="26">
        <f>IF(OR(OR($B24="",$C24=""),I24=0),"",P24/I24)</f>
        <v/>
      </c>
      <c r="R24" s="26">
        <f>IF(OR($B24="",$C24=""),"",IFERROR(P24/INDEX(PARAMETER!$C$10:$C$14,MATCH(C24,PARAMETER!$B$10:$B$14,0)),""))</f>
        <v/>
      </c>
      <c r="S24" s="27">
        <f>IF($B24="","",CHOOSE(WEEKDAY(B24,2),"Sen","Sel","Rab","Kam","Jum","Sab","Min"))</f>
        <v/>
      </c>
      <c r="T24" s="28">
        <f>IF($B24="","",DATE(YEAR(B24),MONTH(B24),1))</f>
        <v/>
      </c>
      <c r="U24" s="25">
        <f>IF(OR(OR($B24="",$C24=""),H24=0,P24=0),"",H24/P24)</f>
        <v/>
      </c>
    </row>
    <row r="25">
      <c r="A25" s="20" t="inlineStr">
        <is>
          <t>P-0020</t>
        </is>
      </c>
      <c r="B25" s="23" t="n">
        <v>46286</v>
      </c>
      <c r="C25" s="20" t="inlineStr">
        <is>
          <t>TikTok</t>
        </is>
      </c>
      <c r="D25" s="20" t="inlineStr">
        <is>
          <t>Carousel</t>
        </is>
      </c>
      <c r="E25" s="20" t="inlineStr">
        <is>
          <t>Promosi</t>
        </is>
      </c>
      <c r="F25" s="20" t="inlineStr">
        <is>
          <t>Malam</t>
        </is>
      </c>
      <c r="G25" s="20" t="inlineStr">
        <is>
          <t>Testimoni #4</t>
        </is>
      </c>
      <c r="H25" s="24" t="n">
        <v>500000</v>
      </c>
      <c r="I25" s="24" t="n">
        <v>36047</v>
      </c>
      <c r="J25" s="24" t="n">
        <v>45616</v>
      </c>
      <c r="K25" s="24" t="n">
        <v>1687</v>
      </c>
      <c r="L25" s="24" t="n">
        <v>151</v>
      </c>
      <c r="M25" s="24" t="n">
        <v>129</v>
      </c>
      <c r="N25" s="24" t="n">
        <v>197</v>
      </c>
      <c r="O25" s="24" t="n">
        <v>189</v>
      </c>
      <c r="P25" s="25">
        <f>IF(OR($B25="",$C25=""),"",SUM(K25:N25))</f>
        <v/>
      </c>
      <c r="Q25" s="26">
        <f>IF(OR(OR($B25="",$C25=""),I25=0),"",P25/I25)</f>
        <v/>
      </c>
      <c r="R25" s="26">
        <f>IF(OR($B25="",$C25=""),"",IFERROR(P25/INDEX(PARAMETER!$C$10:$C$14,MATCH(C25,PARAMETER!$B$10:$B$14,0)),""))</f>
        <v/>
      </c>
      <c r="S25" s="27">
        <f>IF($B25="","",CHOOSE(WEEKDAY(B25,2),"Sen","Sel","Rab","Kam","Jum","Sab","Min"))</f>
        <v/>
      </c>
      <c r="T25" s="28">
        <f>IF($B25="","",DATE(YEAR(B25),MONTH(B25),1))</f>
        <v/>
      </c>
      <c r="U25" s="25">
        <f>IF(OR(OR($B25="",$C25=""),H25=0,P25=0),"",H25/P25)</f>
        <v/>
      </c>
    </row>
    <row r="26">
      <c r="A26" s="20" t="inlineStr">
        <is>
          <t>P-0021</t>
        </is>
      </c>
      <c r="B26" s="23" t="n">
        <v>46287</v>
      </c>
      <c r="C26" s="20" t="inlineStr">
        <is>
          <t>TikTok</t>
        </is>
      </c>
      <c r="D26" s="20" t="inlineStr">
        <is>
          <t>Story</t>
        </is>
      </c>
      <c r="E26" s="20" t="inlineStr">
        <is>
          <t>Bukti Sosial</t>
        </is>
      </c>
      <c r="F26" s="20" t="inlineStr">
        <is>
          <t>Siang</t>
        </is>
      </c>
      <c r="G26" s="20" t="inlineStr">
        <is>
          <t>Tur kantor #16</t>
        </is>
      </c>
      <c r="H26" s="24" t="n">
        <v>0</v>
      </c>
      <c r="I26" s="24" t="n">
        <v>26522</v>
      </c>
      <c r="J26" s="24" t="n">
        <v>42277</v>
      </c>
      <c r="K26" s="24" t="n">
        <v>316</v>
      </c>
      <c r="L26" s="24" t="n">
        <v>28</v>
      </c>
      <c r="M26" s="24" t="n">
        <v>24</v>
      </c>
      <c r="N26" s="24" t="n">
        <v>38</v>
      </c>
      <c r="O26" s="24" t="n">
        <v>508</v>
      </c>
      <c r="P26" s="25">
        <f>IF(OR($B26="",$C26=""),"",SUM(K26:N26))</f>
        <v/>
      </c>
      <c r="Q26" s="26">
        <f>IF(OR(OR($B26="",$C26=""),I26=0),"",P26/I26)</f>
        <v/>
      </c>
      <c r="R26" s="26">
        <f>IF(OR($B26="",$C26=""),"",IFERROR(P26/INDEX(PARAMETER!$C$10:$C$14,MATCH(C26,PARAMETER!$B$10:$B$14,0)),""))</f>
        <v/>
      </c>
      <c r="S26" s="27">
        <f>IF($B26="","",CHOOSE(WEEKDAY(B26,2),"Sen","Sel","Rab","Kam","Jum","Sab","Min"))</f>
        <v/>
      </c>
      <c r="T26" s="28">
        <f>IF($B26="","",DATE(YEAR(B26),MONTH(B26),1))</f>
        <v/>
      </c>
      <c r="U26" s="25">
        <f>IF(OR(OR($B26="",$C26=""),H26=0,P26=0),"",H26/P26)</f>
        <v/>
      </c>
    </row>
    <row r="27">
      <c r="A27" s="20" t="inlineStr">
        <is>
          <t>P-0022</t>
        </is>
      </c>
      <c r="B27" s="23" t="n">
        <v>46287</v>
      </c>
      <c r="C27" s="20" t="inlineStr">
        <is>
          <t>TikTok</t>
        </is>
      </c>
      <c r="D27" s="20" t="inlineStr">
        <is>
          <t>Foto</t>
        </is>
      </c>
      <c r="E27" s="20" t="inlineStr">
        <is>
          <t>Bukti Sosial</t>
        </is>
      </c>
      <c r="F27" s="20" t="inlineStr">
        <is>
          <t>Siang</t>
        </is>
      </c>
      <c r="G27" s="20" t="inlineStr">
        <is>
          <t>Tren industri #31</t>
        </is>
      </c>
      <c r="H27" s="24" t="n">
        <v>0</v>
      </c>
      <c r="I27" s="24" t="n">
        <v>24703</v>
      </c>
      <c r="J27" s="24" t="n">
        <v>33597</v>
      </c>
      <c r="K27" s="24" t="n">
        <v>1155</v>
      </c>
      <c r="L27" s="24" t="n">
        <v>103</v>
      </c>
      <c r="M27" s="24" t="n">
        <v>88</v>
      </c>
      <c r="N27" s="24" t="n">
        <v>135</v>
      </c>
      <c r="O27" s="24" t="n">
        <v>452</v>
      </c>
      <c r="P27" s="25">
        <f>IF(OR($B27="",$C27=""),"",SUM(K27:N27))</f>
        <v/>
      </c>
      <c r="Q27" s="26">
        <f>IF(OR(OR($B27="",$C27=""),I27=0),"",P27/I27)</f>
        <v/>
      </c>
      <c r="R27" s="26">
        <f>IF(OR($B27="",$C27=""),"",IFERROR(P27/INDEX(PARAMETER!$C$10:$C$14,MATCH(C27,PARAMETER!$B$10:$B$14,0)),""))</f>
        <v/>
      </c>
      <c r="S27" s="27">
        <f>IF($B27="","",CHOOSE(WEEKDAY(B27,2),"Sen","Sel","Rab","Kam","Jum","Sab","Min"))</f>
        <v/>
      </c>
      <c r="T27" s="28">
        <f>IF($B27="","",DATE(YEAR(B27),MONTH(B27),1))</f>
        <v/>
      </c>
      <c r="U27" s="25">
        <f>IF(OR(OR($B27="",$C27=""),H27=0,P27=0),"",H27/P27)</f>
        <v/>
      </c>
    </row>
    <row r="28">
      <c r="A28" s="20" t="inlineStr">
        <is>
          <t>P-0023</t>
        </is>
      </c>
      <c r="B28" s="23" t="n">
        <v>46288</v>
      </c>
      <c r="C28" s="20" t="inlineStr">
        <is>
          <t>Instagram</t>
        </is>
      </c>
      <c r="D28" s="20" t="inlineStr">
        <is>
          <t>Teks</t>
        </is>
      </c>
      <c r="E28" s="20" t="inlineStr">
        <is>
          <t>Hiburan</t>
        </is>
      </c>
      <c r="F28" s="20" t="inlineStr">
        <is>
          <t>Siang</t>
        </is>
      </c>
      <c r="G28" s="20" t="inlineStr">
        <is>
          <t>Kuis interaktif #12</t>
        </is>
      </c>
      <c r="H28" s="24" t="n">
        <v>0</v>
      </c>
      <c r="I28" s="24" t="n">
        <v>4077</v>
      </c>
      <c r="J28" s="24" t="n">
        <v>5373</v>
      </c>
      <c r="K28" s="24" t="n">
        <v>112</v>
      </c>
      <c r="L28" s="24" t="n">
        <v>10</v>
      </c>
      <c r="M28" s="24" t="n">
        <v>8</v>
      </c>
      <c r="N28" s="24" t="n">
        <v>14</v>
      </c>
      <c r="O28" s="24" t="n">
        <v>20</v>
      </c>
      <c r="P28" s="25">
        <f>IF(OR($B28="",$C28=""),"",SUM(K28:N28))</f>
        <v/>
      </c>
      <c r="Q28" s="26">
        <f>IF(OR(OR($B28="",$C28=""),I28=0),"",P28/I28)</f>
        <v/>
      </c>
      <c r="R28" s="26">
        <f>IF(OR($B28="",$C28=""),"",IFERROR(P28/INDEX(PARAMETER!$C$10:$C$14,MATCH(C28,PARAMETER!$B$10:$B$14,0)),""))</f>
        <v/>
      </c>
      <c r="S28" s="27">
        <f>IF($B28="","",CHOOSE(WEEKDAY(B28,2),"Sen","Sel","Rab","Kam","Jum","Sab","Min"))</f>
        <v/>
      </c>
      <c r="T28" s="28">
        <f>IF($B28="","",DATE(YEAR(B28),MONTH(B28),1))</f>
        <v/>
      </c>
      <c r="U28" s="25">
        <f>IF(OR(OR($B28="",$C28=""),H28=0,P28=0),"",H28/P28)</f>
        <v/>
      </c>
    </row>
    <row r="29">
      <c r="A29" s="20" t="inlineStr">
        <is>
          <t>P-0024</t>
        </is>
      </c>
      <c r="B29" s="23" t="n">
        <v>46292</v>
      </c>
      <c r="C29" s="20" t="inlineStr">
        <is>
          <t>TikTok</t>
        </is>
      </c>
      <c r="D29" s="20" t="inlineStr">
        <is>
          <t>Carousel</t>
        </is>
      </c>
      <c r="E29" s="20" t="inlineStr">
        <is>
          <t>Di Balik Layar</t>
        </is>
      </c>
      <c r="F29" s="20" t="inlineStr">
        <is>
          <t>Sore</t>
        </is>
      </c>
      <c r="G29" s="20" t="inlineStr">
        <is>
          <t>Panduan singkat #20</t>
        </is>
      </c>
      <c r="H29" s="24" t="n">
        <v>500000</v>
      </c>
      <c r="I29" s="24" t="n">
        <v>45904</v>
      </c>
      <c r="J29" s="24" t="n">
        <v>62357</v>
      </c>
      <c r="K29" s="24" t="n">
        <v>1773</v>
      </c>
      <c r="L29" s="24" t="n">
        <v>159</v>
      </c>
      <c r="M29" s="24" t="n">
        <v>136</v>
      </c>
      <c r="N29" s="24" t="n">
        <v>206</v>
      </c>
      <c r="O29" s="24" t="n">
        <v>607</v>
      </c>
      <c r="P29" s="25">
        <f>IF(OR($B29="",$C29=""),"",SUM(K29:N29))</f>
        <v/>
      </c>
      <c r="Q29" s="26">
        <f>IF(OR(OR($B29="",$C29=""),I29=0),"",P29/I29)</f>
        <v/>
      </c>
      <c r="R29" s="26">
        <f>IF(OR($B29="",$C29=""),"",IFERROR(P29/INDEX(PARAMETER!$C$10:$C$14,MATCH(C29,PARAMETER!$B$10:$B$14,0)),""))</f>
        <v/>
      </c>
      <c r="S29" s="27">
        <f>IF($B29="","",CHOOSE(WEEKDAY(B29,2),"Sen","Sel","Rab","Kam","Jum","Sab","Min"))</f>
        <v/>
      </c>
      <c r="T29" s="28">
        <f>IF($B29="","",DATE(YEAR(B29),MONTH(B29),1))</f>
        <v/>
      </c>
      <c r="U29" s="25">
        <f>IF(OR(OR($B29="",$C29=""),H29=0,P29=0),"",H29/P29)</f>
        <v/>
      </c>
    </row>
    <row r="30">
      <c r="A30" s="20" t="inlineStr">
        <is>
          <t>P-0025</t>
        </is>
      </c>
      <c r="B30" s="23" t="n">
        <v>46294</v>
      </c>
      <c r="C30" s="20" t="inlineStr">
        <is>
          <t>TikTok</t>
        </is>
      </c>
      <c r="D30" s="20" t="inlineStr">
        <is>
          <t>Carousel</t>
        </is>
      </c>
      <c r="E30" s="20" t="inlineStr">
        <is>
          <t>Bukti Sosial</t>
        </is>
      </c>
      <c r="F30" s="20" t="inlineStr">
        <is>
          <t>Pagi</t>
        </is>
      </c>
      <c r="G30" s="20" t="inlineStr">
        <is>
          <t>Panduan singkat #14</t>
        </is>
      </c>
      <c r="H30" s="24" t="n">
        <v>0</v>
      </c>
      <c r="I30" s="24" t="n">
        <v>65159</v>
      </c>
      <c r="J30" s="24" t="n">
        <v>86668</v>
      </c>
      <c r="K30" s="24" t="n">
        <v>3619</v>
      </c>
      <c r="L30" s="24" t="n">
        <v>324</v>
      </c>
      <c r="M30" s="24" t="n">
        <v>278</v>
      </c>
      <c r="N30" s="24" t="n">
        <v>419</v>
      </c>
      <c r="O30" s="24" t="n">
        <v>1108</v>
      </c>
      <c r="P30" s="25">
        <f>IF(OR($B30="",$C30=""),"",SUM(K30:N30))</f>
        <v/>
      </c>
      <c r="Q30" s="26">
        <f>IF(OR(OR($B30="",$C30=""),I30=0),"",P30/I30)</f>
        <v/>
      </c>
      <c r="R30" s="26">
        <f>IF(OR($B30="",$C30=""),"",IFERROR(P30/INDEX(PARAMETER!$C$10:$C$14,MATCH(C30,PARAMETER!$B$10:$B$14,0)),""))</f>
        <v/>
      </c>
      <c r="S30" s="27">
        <f>IF($B30="","",CHOOSE(WEEKDAY(B30,2),"Sen","Sel","Rab","Kam","Jum","Sab","Min"))</f>
        <v/>
      </c>
      <c r="T30" s="28">
        <f>IF($B30="","",DATE(YEAR(B30),MONTH(B30),1))</f>
        <v/>
      </c>
      <c r="U30" s="25">
        <f>IF(OR(OR($B30="",$C30=""),H30=0,P30=0),"",H30/P30)</f>
        <v/>
      </c>
    </row>
    <row r="31">
      <c r="A31" s="20" t="inlineStr">
        <is>
          <t>P-0026</t>
        </is>
      </c>
      <c r="B31" s="23" t="n">
        <v>46294</v>
      </c>
      <c r="C31" s="20" t="inlineStr">
        <is>
          <t>Instagram</t>
        </is>
      </c>
      <c r="D31" s="20" t="inlineStr">
        <is>
          <t>Reels</t>
        </is>
      </c>
      <c r="E31" s="20" t="inlineStr">
        <is>
          <t>Di Balik Layar</t>
        </is>
      </c>
      <c r="F31" s="20" t="inlineStr">
        <is>
          <t>Sore</t>
        </is>
      </c>
      <c r="G31" s="20" t="inlineStr">
        <is>
          <t>Tips hemat #30</t>
        </is>
      </c>
      <c r="H31" s="24" t="n">
        <v>1000000</v>
      </c>
      <c r="I31" s="24" t="n">
        <v>19179</v>
      </c>
      <c r="J31" s="24" t="n">
        <v>26031</v>
      </c>
      <c r="K31" s="24" t="n">
        <v>715</v>
      </c>
      <c r="L31" s="24" t="n">
        <v>64</v>
      </c>
      <c r="M31" s="24" t="n">
        <v>55</v>
      </c>
      <c r="N31" s="24" t="n">
        <v>83</v>
      </c>
      <c r="O31" s="24" t="n">
        <v>245</v>
      </c>
      <c r="P31" s="25">
        <f>IF(OR($B31="",$C31=""),"",SUM(K31:N31))</f>
        <v/>
      </c>
      <c r="Q31" s="26">
        <f>IF(OR(OR($B31="",$C31=""),I31=0),"",P31/I31)</f>
        <v/>
      </c>
      <c r="R31" s="26">
        <f>IF(OR($B31="",$C31=""),"",IFERROR(P31/INDEX(PARAMETER!$C$10:$C$14,MATCH(C31,PARAMETER!$B$10:$B$14,0)),""))</f>
        <v/>
      </c>
      <c r="S31" s="27">
        <f>IF($B31="","",CHOOSE(WEEKDAY(B31,2),"Sen","Sel","Rab","Kam","Jum","Sab","Min"))</f>
        <v/>
      </c>
      <c r="T31" s="28">
        <f>IF($B31="","",DATE(YEAR(B31),MONTH(B31),1))</f>
        <v/>
      </c>
      <c r="U31" s="25">
        <f>IF(OR(OR($B31="",$C31=""),H31=0,P31=0),"",H31/P31)</f>
        <v/>
      </c>
    </row>
    <row r="32">
      <c r="A32" s="20" t="inlineStr">
        <is>
          <t>P-0027</t>
        </is>
      </c>
      <c r="B32" s="23" t="n">
        <v>46294</v>
      </c>
      <c r="C32" s="20" t="inlineStr">
        <is>
          <t>TikTok</t>
        </is>
      </c>
      <c r="D32" s="20" t="inlineStr">
        <is>
          <t>Teks</t>
        </is>
      </c>
      <c r="E32" s="20" t="inlineStr">
        <is>
          <t>Promosi</t>
        </is>
      </c>
      <c r="F32" s="20" t="inlineStr">
        <is>
          <t>Pagi</t>
        </is>
      </c>
      <c r="G32" s="20" t="inlineStr">
        <is>
          <t>Tips hemat #48</t>
        </is>
      </c>
      <c r="H32" s="24" t="n">
        <v>1000000</v>
      </c>
      <c r="I32" s="24" t="n">
        <v>10796</v>
      </c>
      <c r="J32" s="24" t="n">
        <v>16258</v>
      </c>
      <c r="K32" s="24" t="n">
        <v>185</v>
      </c>
      <c r="L32" s="24" t="n">
        <v>16</v>
      </c>
      <c r="M32" s="24" t="n">
        <v>14</v>
      </c>
      <c r="N32" s="24" t="n">
        <v>23</v>
      </c>
      <c r="O32" s="24" t="n">
        <v>128</v>
      </c>
      <c r="P32" s="25">
        <f>IF(OR($B32="",$C32=""),"",SUM(K32:N32))</f>
        <v/>
      </c>
      <c r="Q32" s="26">
        <f>IF(OR(OR($B32="",$C32=""),I32=0),"",P32/I32)</f>
        <v/>
      </c>
      <c r="R32" s="26">
        <f>IF(OR($B32="",$C32=""),"",IFERROR(P32/INDEX(PARAMETER!$C$10:$C$14,MATCH(C32,PARAMETER!$B$10:$B$14,0)),""))</f>
        <v/>
      </c>
      <c r="S32" s="27">
        <f>IF($B32="","",CHOOSE(WEEKDAY(B32,2),"Sen","Sel","Rab","Kam","Jum","Sab","Min"))</f>
        <v/>
      </c>
      <c r="T32" s="28">
        <f>IF($B32="","",DATE(YEAR(B32),MONTH(B32),1))</f>
        <v/>
      </c>
      <c r="U32" s="25">
        <f>IF(OR(OR($B32="",$C32=""),H32=0,P32=0),"",H32/P32)</f>
        <v/>
      </c>
    </row>
    <row r="33">
      <c r="A33" s="20" t="inlineStr">
        <is>
          <t>P-0028</t>
        </is>
      </c>
      <c r="B33" s="23" t="n">
        <v>46297</v>
      </c>
      <c r="C33" s="20" t="inlineStr">
        <is>
          <t>Instagram</t>
        </is>
      </c>
      <c r="D33" s="20" t="inlineStr">
        <is>
          <t>Reels</t>
        </is>
      </c>
      <c r="E33" s="20" t="inlineStr">
        <is>
          <t>Di Balik Layar</t>
        </is>
      </c>
      <c r="F33" s="20" t="inlineStr">
        <is>
          <t>Malam</t>
        </is>
      </c>
      <c r="G33" s="20" t="inlineStr">
        <is>
          <t>Tanya jawab #6</t>
        </is>
      </c>
      <c r="H33" s="24" t="n">
        <v>0</v>
      </c>
      <c r="I33" s="24" t="n">
        <v>21796</v>
      </c>
      <c r="J33" s="24" t="n">
        <v>28645</v>
      </c>
      <c r="K33" s="24" t="n">
        <v>604</v>
      </c>
      <c r="L33" s="24" t="n">
        <v>54</v>
      </c>
      <c r="M33" s="24" t="n">
        <v>46</v>
      </c>
      <c r="N33" s="24" t="n">
        <v>71</v>
      </c>
      <c r="O33" s="24" t="n">
        <v>389</v>
      </c>
      <c r="P33" s="25">
        <f>IF(OR($B33="",$C33=""),"",SUM(K33:N33))</f>
        <v/>
      </c>
      <c r="Q33" s="26">
        <f>IF(OR(OR($B33="",$C33=""),I33=0),"",P33/I33)</f>
        <v/>
      </c>
      <c r="R33" s="26">
        <f>IF(OR($B33="",$C33=""),"",IFERROR(P33/INDEX(PARAMETER!$C$10:$C$14,MATCH(C33,PARAMETER!$B$10:$B$14,0)),""))</f>
        <v/>
      </c>
      <c r="S33" s="27">
        <f>IF($B33="","",CHOOSE(WEEKDAY(B33,2),"Sen","Sel","Rab","Kam","Jum","Sab","Min"))</f>
        <v/>
      </c>
      <c r="T33" s="28">
        <f>IF($B33="","",DATE(YEAR(B33),MONTH(B33),1))</f>
        <v/>
      </c>
      <c r="U33" s="25">
        <f>IF(OR(OR($B33="",$C33=""),H33=0,P33=0),"",H33/P33)</f>
        <v/>
      </c>
    </row>
    <row r="34">
      <c r="A34" s="20" t="inlineStr">
        <is>
          <t>P-0029</t>
        </is>
      </c>
      <c r="B34" s="23" t="n">
        <v>46297</v>
      </c>
      <c r="C34" s="20" t="inlineStr">
        <is>
          <t>TikTok</t>
        </is>
      </c>
      <c r="D34" s="20" t="inlineStr">
        <is>
          <t>Teks</t>
        </is>
      </c>
      <c r="E34" s="20" t="inlineStr">
        <is>
          <t>Bukti Sosial</t>
        </is>
      </c>
      <c r="F34" s="20" t="inlineStr">
        <is>
          <t>Malam</t>
        </is>
      </c>
      <c r="G34" s="20" t="inlineStr">
        <is>
          <t>Studi kasus pelanggan #32</t>
        </is>
      </c>
      <c r="H34" s="24" t="n">
        <v>1000000</v>
      </c>
      <c r="I34" s="24" t="n">
        <v>10562</v>
      </c>
      <c r="J34" s="24" t="n">
        <v>16874</v>
      </c>
      <c r="K34" s="24" t="n">
        <v>283</v>
      </c>
      <c r="L34" s="24" t="n">
        <v>25</v>
      </c>
      <c r="M34" s="24" t="n">
        <v>21</v>
      </c>
      <c r="N34" s="24" t="n">
        <v>35</v>
      </c>
      <c r="O34" s="24" t="n">
        <v>90</v>
      </c>
      <c r="P34" s="25">
        <f>IF(OR($B34="",$C34=""),"",SUM(K34:N34))</f>
        <v/>
      </c>
      <c r="Q34" s="26">
        <f>IF(OR(OR($B34="",$C34=""),I34=0),"",P34/I34)</f>
        <v/>
      </c>
      <c r="R34" s="26">
        <f>IF(OR($B34="",$C34=""),"",IFERROR(P34/INDEX(PARAMETER!$C$10:$C$14,MATCH(C34,PARAMETER!$B$10:$B$14,0)),""))</f>
        <v/>
      </c>
      <c r="S34" s="27">
        <f>IF($B34="","",CHOOSE(WEEKDAY(B34,2),"Sen","Sel","Rab","Kam","Jum","Sab","Min"))</f>
        <v/>
      </c>
      <c r="T34" s="28">
        <f>IF($B34="","",DATE(YEAR(B34),MONTH(B34),1))</f>
        <v/>
      </c>
      <c r="U34" s="25">
        <f>IF(OR(OR($B34="",$C34=""),H34=0,P34=0),"",H34/P34)</f>
        <v/>
      </c>
    </row>
    <row r="35">
      <c r="A35" s="20" t="inlineStr">
        <is>
          <t>P-0030</t>
        </is>
      </c>
      <c r="B35" s="23" t="n">
        <v>46297</v>
      </c>
      <c r="C35" s="20" t="inlineStr">
        <is>
          <t>Instagram</t>
        </is>
      </c>
      <c r="D35" s="20" t="inlineStr">
        <is>
          <t>Teks</t>
        </is>
      </c>
      <c r="E35" s="20" t="inlineStr">
        <is>
          <t>Edukasi</t>
        </is>
      </c>
      <c r="F35" s="20" t="inlineStr">
        <is>
          <t>Malam</t>
        </is>
      </c>
      <c r="G35" s="20" t="inlineStr">
        <is>
          <t>Studi kasus pelanggan #42</t>
        </is>
      </c>
      <c r="H35" s="24" t="n">
        <v>150000</v>
      </c>
      <c r="I35" s="24" t="n">
        <v>3765</v>
      </c>
      <c r="J35" s="24" t="n">
        <v>5803</v>
      </c>
      <c r="K35" s="24" t="n">
        <v>95</v>
      </c>
      <c r="L35" s="24" t="n">
        <v>8</v>
      </c>
      <c r="M35" s="24" t="n">
        <v>7</v>
      </c>
      <c r="N35" s="24" t="n">
        <v>12</v>
      </c>
      <c r="O35" s="24" t="n">
        <v>65</v>
      </c>
      <c r="P35" s="25">
        <f>IF(OR($B35="",$C35=""),"",SUM(K35:N35))</f>
        <v/>
      </c>
      <c r="Q35" s="26">
        <f>IF(OR(OR($B35="",$C35=""),I35=0),"",P35/I35)</f>
        <v/>
      </c>
      <c r="R35" s="26">
        <f>IF(OR($B35="",$C35=""),"",IFERROR(P35/INDEX(PARAMETER!$C$10:$C$14,MATCH(C35,PARAMETER!$B$10:$B$14,0)),""))</f>
        <v/>
      </c>
      <c r="S35" s="27">
        <f>IF($B35="","",CHOOSE(WEEKDAY(B35,2),"Sen","Sel","Rab","Kam","Jum","Sab","Min"))</f>
        <v/>
      </c>
      <c r="T35" s="28">
        <f>IF($B35="","",DATE(YEAR(B35),MONTH(B35),1))</f>
        <v/>
      </c>
      <c r="U35" s="25">
        <f>IF(OR(OR($B35="",$C35=""),H35=0,P35=0),"",H35/P35)</f>
        <v/>
      </c>
    </row>
    <row r="36">
      <c r="A36" s="20" t="inlineStr">
        <is>
          <t>P-0031</t>
        </is>
      </c>
      <c r="B36" s="23" t="n">
        <v>46299</v>
      </c>
      <c r="C36" s="20" t="inlineStr">
        <is>
          <t>TikTok</t>
        </is>
      </c>
      <c r="D36" s="20" t="inlineStr">
        <is>
          <t>Carousel</t>
        </is>
      </c>
      <c r="E36" s="20" t="inlineStr">
        <is>
          <t>Di Balik Layar</t>
        </is>
      </c>
      <c r="F36" s="20" t="inlineStr">
        <is>
          <t>Malam</t>
        </is>
      </c>
      <c r="G36" s="20" t="inlineStr">
        <is>
          <t>Tips hemat #36</t>
        </is>
      </c>
      <c r="H36" s="24" t="n">
        <v>0</v>
      </c>
      <c r="I36" s="24" t="n">
        <v>69303</v>
      </c>
      <c r="J36" s="24" t="n">
        <v>92036</v>
      </c>
      <c r="K36" s="24" t="n">
        <v>3304</v>
      </c>
      <c r="L36" s="24" t="n">
        <v>296</v>
      </c>
      <c r="M36" s="24" t="n">
        <v>254</v>
      </c>
      <c r="N36" s="24" t="n">
        <v>383</v>
      </c>
      <c r="O36" s="24" t="n">
        <v>1106</v>
      </c>
      <c r="P36" s="25">
        <f>IF(OR($B36="",$C36=""),"",SUM(K36:N36))</f>
        <v/>
      </c>
      <c r="Q36" s="26">
        <f>IF(OR(OR($B36="",$C36=""),I36=0),"",P36/I36)</f>
        <v/>
      </c>
      <c r="R36" s="26">
        <f>IF(OR($B36="",$C36=""),"",IFERROR(P36/INDEX(PARAMETER!$C$10:$C$14,MATCH(C36,PARAMETER!$B$10:$B$14,0)),""))</f>
        <v/>
      </c>
      <c r="S36" s="27">
        <f>IF($B36="","",CHOOSE(WEEKDAY(B36,2),"Sen","Sel","Rab","Kam","Jum","Sab","Min"))</f>
        <v/>
      </c>
      <c r="T36" s="28">
        <f>IF($B36="","",DATE(YEAR(B36),MONTH(B36),1))</f>
        <v/>
      </c>
      <c r="U36" s="25">
        <f>IF(OR(OR($B36="",$C36=""),H36=0,P36=0),"",H36/P36)</f>
        <v/>
      </c>
    </row>
    <row r="37">
      <c r="A37" s="20" t="inlineStr">
        <is>
          <t>P-0032</t>
        </is>
      </c>
      <c r="B37" s="23" t="n">
        <v>46299</v>
      </c>
      <c r="C37" s="20" t="inlineStr">
        <is>
          <t>TikTok</t>
        </is>
      </c>
      <c r="D37" s="20" t="inlineStr">
        <is>
          <t>Video</t>
        </is>
      </c>
      <c r="E37" s="20" t="inlineStr">
        <is>
          <t>Hiburan</t>
        </is>
      </c>
      <c r="F37" s="20" t="inlineStr">
        <is>
          <t>Sore</t>
        </is>
      </c>
      <c r="G37" s="20" t="inlineStr">
        <is>
          <t>Tur kantor #40</t>
        </is>
      </c>
      <c r="H37" s="24" t="n">
        <v>1000000</v>
      </c>
      <c r="I37" s="24" t="n">
        <v>52146</v>
      </c>
      <c r="J37" s="24" t="n">
        <v>82875</v>
      </c>
      <c r="K37" s="24" t="n">
        <v>2395</v>
      </c>
      <c r="L37" s="24" t="n">
        <v>214</v>
      </c>
      <c r="M37" s="24" t="n">
        <v>184</v>
      </c>
      <c r="N37" s="24" t="n">
        <v>278</v>
      </c>
      <c r="O37" s="24" t="n">
        <v>292</v>
      </c>
      <c r="P37" s="25">
        <f>IF(OR($B37="",$C37=""),"",SUM(K37:N37))</f>
        <v/>
      </c>
      <c r="Q37" s="26">
        <f>IF(OR(OR($B37="",$C37=""),I37=0),"",P37/I37)</f>
        <v/>
      </c>
      <c r="R37" s="26">
        <f>IF(OR($B37="",$C37=""),"",IFERROR(P37/INDEX(PARAMETER!$C$10:$C$14,MATCH(C37,PARAMETER!$B$10:$B$14,0)),""))</f>
        <v/>
      </c>
      <c r="S37" s="27">
        <f>IF($B37="","",CHOOSE(WEEKDAY(B37,2),"Sen","Sel","Rab","Kam","Jum","Sab","Min"))</f>
        <v/>
      </c>
      <c r="T37" s="28">
        <f>IF($B37="","",DATE(YEAR(B37),MONTH(B37),1))</f>
        <v/>
      </c>
      <c r="U37" s="25">
        <f>IF(OR(OR($B37="",$C37=""),H37=0,P37=0),"",H37/P37)</f>
        <v/>
      </c>
    </row>
    <row r="38">
      <c r="A38" s="20" t="inlineStr">
        <is>
          <t>P-0033</t>
        </is>
      </c>
      <c r="B38" s="23" t="n">
        <v>46302</v>
      </c>
      <c r="C38" s="20" t="inlineStr">
        <is>
          <t>Instagram</t>
        </is>
      </c>
      <c r="D38" s="20" t="inlineStr">
        <is>
          <t>Foto</t>
        </is>
      </c>
      <c r="E38" s="20" t="inlineStr">
        <is>
          <t>Bukti Sosial</t>
        </is>
      </c>
      <c r="F38" s="20" t="inlineStr">
        <is>
          <t>Malam</t>
        </is>
      </c>
      <c r="G38" s="20" t="inlineStr">
        <is>
          <t>Tanya jawab #8</t>
        </is>
      </c>
      <c r="H38" s="24" t="n">
        <v>0</v>
      </c>
      <c r="I38" s="24" t="n">
        <v>18297</v>
      </c>
      <c r="J38" s="24" t="n">
        <v>22378</v>
      </c>
      <c r="K38" s="24" t="n">
        <v>602</v>
      </c>
      <c r="L38" s="24" t="n">
        <v>54</v>
      </c>
      <c r="M38" s="24" t="n">
        <v>46</v>
      </c>
      <c r="N38" s="24" t="n">
        <v>70</v>
      </c>
      <c r="O38" s="24" t="n">
        <v>344</v>
      </c>
      <c r="P38" s="25">
        <f>IF(OR($B38="",$C38=""),"",SUM(K38:N38))</f>
        <v/>
      </c>
      <c r="Q38" s="26">
        <f>IF(OR(OR($B38="",$C38=""),I38=0),"",P38/I38)</f>
        <v/>
      </c>
      <c r="R38" s="26">
        <f>IF(OR($B38="",$C38=""),"",IFERROR(P38/INDEX(PARAMETER!$C$10:$C$14,MATCH(C38,PARAMETER!$B$10:$B$14,0)),""))</f>
        <v/>
      </c>
      <c r="S38" s="27">
        <f>IF($B38="","",CHOOSE(WEEKDAY(B38,2),"Sen","Sel","Rab","Kam","Jum","Sab","Min"))</f>
        <v/>
      </c>
      <c r="T38" s="28">
        <f>IF($B38="","",DATE(YEAR(B38),MONTH(B38),1))</f>
        <v/>
      </c>
      <c r="U38" s="25">
        <f>IF(OR(OR($B38="",$C38=""),H38=0,P38=0),"",H38/P38)</f>
        <v/>
      </c>
    </row>
    <row r="39">
      <c r="A39" s="20" t="inlineStr">
        <is>
          <t>P-0034</t>
        </is>
      </c>
      <c r="B39" s="23" t="n">
        <v>46305</v>
      </c>
      <c r="C39" s="20" t="inlineStr">
        <is>
          <t>Instagram</t>
        </is>
      </c>
      <c r="D39" s="20" t="inlineStr">
        <is>
          <t>Foto</t>
        </is>
      </c>
      <c r="E39" s="20" t="inlineStr">
        <is>
          <t>Bukti Sosial</t>
        </is>
      </c>
      <c r="F39" s="20" t="inlineStr">
        <is>
          <t>Sore</t>
        </is>
      </c>
      <c r="G39" s="20" t="inlineStr">
        <is>
          <t>Testimoni #5</t>
        </is>
      </c>
      <c r="H39" s="24" t="n">
        <v>500000</v>
      </c>
      <c r="I39" s="24" t="n">
        <v>15265</v>
      </c>
      <c r="J39" s="24" t="n">
        <v>20797</v>
      </c>
      <c r="K39" s="24" t="n">
        <v>684</v>
      </c>
      <c r="L39" s="24" t="n">
        <v>61</v>
      </c>
      <c r="M39" s="24" t="n">
        <v>52</v>
      </c>
      <c r="N39" s="24" t="n">
        <v>81</v>
      </c>
      <c r="O39" s="24" t="n">
        <v>263</v>
      </c>
      <c r="P39" s="25">
        <f>IF(OR($B39="",$C39=""),"",SUM(K39:N39))</f>
        <v/>
      </c>
      <c r="Q39" s="26">
        <f>IF(OR(OR($B39="",$C39=""),I39=0),"",P39/I39)</f>
        <v/>
      </c>
      <c r="R39" s="26">
        <f>IF(OR($B39="",$C39=""),"",IFERROR(P39/INDEX(PARAMETER!$C$10:$C$14,MATCH(C39,PARAMETER!$B$10:$B$14,0)),""))</f>
        <v/>
      </c>
      <c r="S39" s="27">
        <f>IF($B39="","",CHOOSE(WEEKDAY(B39,2),"Sen","Sel","Rab","Kam","Jum","Sab","Min"))</f>
        <v/>
      </c>
      <c r="T39" s="28">
        <f>IF($B39="","",DATE(YEAR(B39),MONTH(B39),1))</f>
        <v/>
      </c>
      <c r="U39" s="25">
        <f>IF(OR(OR($B39="",$C39=""),H39=0,P39=0),"",H39/P39)</f>
        <v/>
      </c>
    </row>
    <row r="40">
      <c r="A40" s="20" t="inlineStr">
        <is>
          <t>P-0035</t>
        </is>
      </c>
      <c r="B40" s="23" t="n">
        <v>46309</v>
      </c>
      <c r="C40" s="20" t="inlineStr">
        <is>
          <t>TikTok</t>
        </is>
      </c>
      <c r="D40" s="20" t="inlineStr">
        <is>
          <t>Reels</t>
        </is>
      </c>
      <c r="E40" s="20" t="inlineStr">
        <is>
          <t>Hiburan</t>
        </is>
      </c>
      <c r="F40" s="20" t="inlineStr">
        <is>
          <t>Malam</t>
        </is>
      </c>
      <c r="G40" s="20" t="inlineStr">
        <is>
          <t>Peluncuran produk #18</t>
        </is>
      </c>
      <c r="H40" s="24" t="n">
        <v>500000</v>
      </c>
      <c r="I40" s="24" t="n">
        <v>90925</v>
      </c>
      <c r="J40" s="24" t="n">
        <v>133843</v>
      </c>
      <c r="K40" s="24" t="n">
        <v>3680</v>
      </c>
      <c r="L40" s="24" t="n">
        <v>330</v>
      </c>
      <c r="M40" s="24" t="n">
        <v>283</v>
      </c>
      <c r="N40" s="24" t="n">
        <v>426</v>
      </c>
      <c r="O40" s="24" t="n">
        <v>1031</v>
      </c>
      <c r="P40" s="25">
        <f>IF(OR($B40="",$C40=""),"",SUM(K40:N40))</f>
        <v/>
      </c>
      <c r="Q40" s="26">
        <f>IF(OR(OR($B40="",$C40=""),I40=0),"",P40/I40)</f>
        <v/>
      </c>
      <c r="R40" s="26">
        <f>IF(OR($B40="",$C40=""),"",IFERROR(P40/INDEX(PARAMETER!$C$10:$C$14,MATCH(C40,PARAMETER!$B$10:$B$14,0)),""))</f>
        <v/>
      </c>
      <c r="S40" s="27">
        <f>IF($B40="","",CHOOSE(WEEKDAY(B40,2),"Sen","Sel","Rab","Kam","Jum","Sab","Min"))</f>
        <v/>
      </c>
      <c r="T40" s="28">
        <f>IF($B40="","",DATE(YEAR(B40),MONTH(B40),1))</f>
        <v/>
      </c>
      <c r="U40" s="25">
        <f>IF(OR(OR($B40="",$C40=""),H40=0,P40=0),"",H40/P40)</f>
        <v/>
      </c>
    </row>
    <row r="41">
      <c r="A41" s="20" t="inlineStr">
        <is>
          <t>P-0036</t>
        </is>
      </c>
      <c r="B41" s="23" t="n">
        <v>46312</v>
      </c>
      <c r="C41" s="20" t="inlineStr">
        <is>
          <t>Instagram</t>
        </is>
      </c>
      <c r="D41" s="20" t="inlineStr">
        <is>
          <t>Teks</t>
        </is>
      </c>
      <c r="E41" s="20" t="inlineStr">
        <is>
          <t>Promosi</t>
        </is>
      </c>
      <c r="F41" s="20" t="inlineStr">
        <is>
          <t>Pagi</t>
        </is>
      </c>
      <c r="G41" s="20" t="inlineStr">
        <is>
          <t>Fakta menarik #35</t>
        </is>
      </c>
      <c r="H41" s="24" t="n">
        <v>500000</v>
      </c>
      <c r="I41" s="24" t="n">
        <v>5716</v>
      </c>
      <c r="J41" s="24" t="n">
        <v>7377</v>
      </c>
      <c r="K41" s="24" t="n">
        <v>117</v>
      </c>
      <c r="L41" s="24" t="n">
        <v>10</v>
      </c>
      <c r="M41" s="24" t="n">
        <v>9</v>
      </c>
      <c r="N41" s="24" t="n">
        <v>14</v>
      </c>
      <c r="O41" s="24" t="n">
        <v>93</v>
      </c>
      <c r="P41" s="25">
        <f>IF(OR($B41="",$C41=""),"",SUM(K41:N41))</f>
        <v/>
      </c>
      <c r="Q41" s="26">
        <f>IF(OR(OR($B41="",$C41=""),I41=0),"",P41/I41)</f>
        <v/>
      </c>
      <c r="R41" s="26">
        <f>IF(OR($B41="",$C41=""),"",IFERROR(P41/INDEX(PARAMETER!$C$10:$C$14,MATCH(C41,PARAMETER!$B$10:$B$14,0)),""))</f>
        <v/>
      </c>
      <c r="S41" s="27">
        <f>IF($B41="","",CHOOSE(WEEKDAY(B41,2),"Sen","Sel","Rab","Kam","Jum","Sab","Min"))</f>
        <v/>
      </c>
      <c r="T41" s="28">
        <f>IF($B41="","",DATE(YEAR(B41),MONTH(B41),1))</f>
        <v/>
      </c>
      <c r="U41" s="25">
        <f>IF(OR(OR($B41="",$C41=""),H41=0,P41=0),"",H41/P41)</f>
        <v/>
      </c>
    </row>
    <row r="42">
      <c r="A42" s="20" t="inlineStr">
        <is>
          <t>P-0037</t>
        </is>
      </c>
      <c r="B42" s="23" t="n">
        <v>46312</v>
      </c>
      <c r="C42" s="20" t="inlineStr">
        <is>
          <t>Instagram</t>
        </is>
      </c>
      <c r="D42" s="20" t="inlineStr">
        <is>
          <t>Foto</t>
        </is>
      </c>
      <c r="E42" s="20" t="inlineStr">
        <is>
          <t>Bukti Sosial</t>
        </is>
      </c>
      <c r="F42" s="20" t="inlineStr">
        <is>
          <t>Sore</t>
        </is>
      </c>
      <c r="G42" s="20" t="inlineStr">
        <is>
          <t>Testimoni #49</t>
        </is>
      </c>
      <c r="H42" s="24" t="n">
        <v>1000000</v>
      </c>
      <c r="I42" s="24" t="n">
        <v>12666</v>
      </c>
      <c r="J42" s="24" t="n">
        <v>18300</v>
      </c>
      <c r="K42" s="24" t="n">
        <v>347</v>
      </c>
      <c r="L42" s="24" t="n">
        <v>31</v>
      </c>
      <c r="M42" s="24" t="n">
        <v>26</v>
      </c>
      <c r="N42" s="24" t="n">
        <v>41</v>
      </c>
      <c r="O42" s="24" t="n">
        <v>186</v>
      </c>
      <c r="P42" s="25">
        <f>IF(OR($B42="",$C42=""),"",SUM(K42:N42))</f>
        <v/>
      </c>
      <c r="Q42" s="26">
        <f>IF(OR(OR($B42="",$C42=""),I42=0),"",P42/I42)</f>
        <v/>
      </c>
      <c r="R42" s="26">
        <f>IF(OR($B42="",$C42=""),"",IFERROR(P42/INDEX(PARAMETER!$C$10:$C$14,MATCH(C42,PARAMETER!$B$10:$B$14,0)),""))</f>
        <v/>
      </c>
      <c r="S42" s="27">
        <f>IF($B42="","",CHOOSE(WEEKDAY(B42,2),"Sen","Sel","Rab","Kam","Jum","Sab","Min"))</f>
        <v/>
      </c>
      <c r="T42" s="28">
        <f>IF($B42="","",DATE(YEAR(B42),MONTH(B42),1))</f>
        <v/>
      </c>
      <c r="U42" s="25">
        <f>IF(OR(OR($B42="",$C42=""),H42=0,P42=0),"",H42/P42)</f>
        <v/>
      </c>
    </row>
    <row r="43">
      <c r="A43" s="20" t="inlineStr">
        <is>
          <t>P-0038</t>
        </is>
      </c>
      <c r="B43" s="23" t="n">
        <v>46313</v>
      </c>
      <c r="C43" s="20" t="inlineStr">
        <is>
          <t>TikTok</t>
        </is>
      </c>
      <c r="D43" s="20" t="inlineStr">
        <is>
          <t>Reels</t>
        </is>
      </c>
      <c r="E43" s="20" t="inlineStr">
        <is>
          <t>Hiburan</t>
        </is>
      </c>
      <c r="F43" s="20" t="inlineStr">
        <is>
          <t>Sore</t>
        </is>
      </c>
      <c r="G43" s="20" t="inlineStr">
        <is>
          <t>Peluncuran produk #25</t>
        </is>
      </c>
      <c r="H43" s="24" t="n">
        <v>0</v>
      </c>
      <c r="I43" s="24" t="n">
        <v>85855</v>
      </c>
      <c r="J43" s="24" t="n">
        <v>109231</v>
      </c>
      <c r="K43" s="24" t="n">
        <v>5037</v>
      </c>
      <c r="L43" s="24" t="n">
        <v>452</v>
      </c>
      <c r="M43" s="24" t="n">
        <v>387</v>
      </c>
      <c r="N43" s="24" t="n">
        <v>582</v>
      </c>
      <c r="O43" s="24" t="n">
        <v>468</v>
      </c>
      <c r="P43" s="25">
        <f>IF(OR($B43="",$C43=""),"",SUM(K43:N43))</f>
        <v/>
      </c>
      <c r="Q43" s="26">
        <f>IF(OR(OR($B43="",$C43=""),I43=0),"",P43/I43)</f>
        <v/>
      </c>
      <c r="R43" s="26">
        <f>IF(OR($B43="",$C43=""),"",IFERROR(P43/INDEX(PARAMETER!$C$10:$C$14,MATCH(C43,PARAMETER!$B$10:$B$14,0)),""))</f>
        <v/>
      </c>
      <c r="S43" s="27">
        <f>IF($B43="","",CHOOSE(WEEKDAY(B43,2),"Sen","Sel","Rab","Kam","Jum","Sab","Min"))</f>
        <v/>
      </c>
      <c r="T43" s="28">
        <f>IF($B43="","",DATE(YEAR(B43),MONTH(B43),1))</f>
        <v/>
      </c>
      <c r="U43" s="25">
        <f>IF(OR(OR($B43="",$C43=""),H43=0,P43=0),"",H43/P43)</f>
        <v/>
      </c>
    </row>
    <row r="44">
      <c r="A44" s="20" t="inlineStr">
        <is>
          <t>P-0039</t>
        </is>
      </c>
      <c r="B44" s="23" t="n">
        <v>46313</v>
      </c>
      <c r="C44" s="20" t="inlineStr">
        <is>
          <t>Instagram</t>
        </is>
      </c>
      <c r="D44" s="20" t="inlineStr">
        <is>
          <t>Teks</t>
        </is>
      </c>
      <c r="E44" s="20" t="inlineStr">
        <is>
          <t>Bukti Sosial</t>
        </is>
      </c>
      <c r="F44" s="20" t="inlineStr">
        <is>
          <t>Sore</t>
        </is>
      </c>
      <c r="G44" s="20" t="inlineStr">
        <is>
          <t>Studi kasus pelanggan #41</t>
        </is>
      </c>
      <c r="H44" s="24" t="n">
        <v>300000</v>
      </c>
      <c r="I44" s="24" t="n">
        <v>3559</v>
      </c>
      <c r="J44" s="24" t="n">
        <v>5317</v>
      </c>
      <c r="K44" s="24" t="n">
        <v>98</v>
      </c>
      <c r="L44" s="24" t="n">
        <v>8</v>
      </c>
      <c r="M44" s="24" t="n">
        <v>7</v>
      </c>
      <c r="N44" s="24" t="n">
        <v>13</v>
      </c>
      <c r="O44" s="24" t="n">
        <v>23</v>
      </c>
      <c r="P44" s="25">
        <f>IF(OR($B44="",$C44=""),"",SUM(K44:N44))</f>
        <v/>
      </c>
      <c r="Q44" s="26">
        <f>IF(OR(OR($B44="",$C44=""),I44=0),"",P44/I44)</f>
        <v/>
      </c>
      <c r="R44" s="26">
        <f>IF(OR($B44="",$C44=""),"",IFERROR(P44/INDEX(PARAMETER!$C$10:$C$14,MATCH(C44,PARAMETER!$B$10:$B$14,0)),""))</f>
        <v/>
      </c>
      <c r="S44" s="27">
        <f>IF($B44="","",CHOOSE(WEEKDAY(B44,2),"Sen","Sel","Rab","Kam","Jum","Sab","Min"))</f>
        <v/>
      </c>
      <c r="T44" s="28">
        <f>IF($B44="","",DATE(YEAR(B44),MONTH(B44),1))</f>
        <v/>
      </c>
      <c r="U44" s="25">
        <f>IF(OR(OR($B44="",$C44=""),H44=0,P44=0),"",H44/P44)</f>
        <v/>
      </c>
    </row>
    <row r="45">
      <c r="A45" s="20" t="inlineStr">
        <is>
          <t>P-0040</t>
        </is>
      </c>
      <c r="B45" s="23" t="n">
        <v>46314</v>
      </c>
      <c r="C45" s="20" t="inlineStr">
        <is>
          <t>TikTok</t>
        </is>
      </c>
      <c r="D45" s="20" t="inlineStr">
        <is>
          <t>Reels</t>
        </is>
      </c>
      <c r="E45" s="20" t="inlineStr">
        <is>
          <t>Edukasi</t>
        </is>
      </c>
      <c r="F45" s="20" t="inlineStr">
        <is>
          <t>Siang</t>
        </is>
      </c>
      <c r="G45" s="20" t="inlineStr">
        <is>
          <t>Peluncuran produk #2</t>
        </is>
      </c>
      <c r="H45" s="24" t="n">
        <v>0</v>
      </c>
      <c r="I45" s="24" t="n">
        <v>56174</v>
      </c>
      <c r="J45" s="24" t="n">
        <v>82744</v>
      </c>
      <c r="K45" s="24" t="n">
        <v>3403</v>
      </c>
      <c r="L45" s="24" t="n">
        <v>305</v>
      </c>
      <c r="M45" s="24" t="n">
        <v>261</v>
      </c>
      <c r="N45" s="24" t="n">
        <v>395</v>
      </c>
      <c r="O45" s="24" t="n">
        <v>386</v>
      </c>
      <c r="P45" s="25">
        <f>IF(OR($B45="",$C45=""),"",SUM(K45:N45))</f>
        <v/>
      </c>
      <c r="Q45" s="26">
        <f>IF(OR(OR($B45="",$C45=""),I45=0),"",P45/I45)</f>
        <v/>
      </c>
      <c r="R45" s="26">
        <f>IF(OR($B45="",$C45=""),"",IFERROR(P45/INDEX(PARAMETER!$C$10:$C$14,MATCH(C45,PARAMETER!$B$10:$B$14,0)),""))</f>
        <v/>
      </c>
      <c r="S45" s="27">
        <f>IF($B45="","",CHOOSE(WEEKDAY(B45,2),"Sen","Sel","Rab","Kam","Jum","Sab","Min"))</f>
        <v/>
      </c>
      <c r="T45" s="28">
        <f>IF($B45="","",DATE(YEAR(B45),MONTH(B45),1))</f>
        <v/>
      </c>
      <c r="U45" s="25">
        <f>IF(OR(OR($B45="",$C45=""),H45=0,P45=0),"",H45/P45)</f>
        <v/>
      </c>
    </row>
    <row r="46">
      <c r="A46" s="20" t="inlineStr">
        <is>
          <t>P-0041</t>
        </is>
      </c>
      <c r="B46" s="23" t="n">
        <v>46316</v>
      </c>
      <c r="C46" s="20" t="inlineStr">
        <is>
          <t>Instagram</t>
        </is>
      </c>
      <c r="D46" s="20" t="inlineStr">
        <is>
          <t>Foto</t>
        </is>
      </c>
      <c r="E46" s="20" t="inlineStr">
        <is>
          <t>Bukti Sosial</t>
        </is>
      </c>
      <c r="F46" s="20" t="inlineStr">
        <is>
          <t>Malam</t>
        </is>
      </c>
      <c r="G46" s="20" t="inlineStr">
        <is>
          <t>Fakta menarik #15</t>
        </is>
      </c>
      <c r="H46" s="24" t="n">
        <v>0</v>
      </c>
      <c r="I46" s="24" t="n">
        <v>6918</v>
      </c>
      <c r="J46" s="24" t="n">
        <v>9505</v>
      </c>
      <c r="K46" s="24" t="n">
        <v>223</v>
      </c>
      <c r="L46" s="24" t="n">
        <v>20</v>
      </c>
      <c r="M46" s="24" t="n">
        <v>17</v>
      </c>
      <c r="N46" s="24" t="n">
        <v>27</v>
      </c>
      <c r="O46" s="24" t="n">
        <v>111</v>
      </c>
      <c r="P46" s="25">
        <f>IF(OR($B46="",$C46=""),"",SUM(K46:N46))</f>
        <v/>
      </c>
      <c r="Q46" s="26">
        <f>IF(OR(OR($B46="",$C46=""),I46=0),"",P46/I46)</f>
        <v/>
      </c>
      <c r="R46" s="26">
        <f>IF(OR($B46="",$C46=""),"",IFERROR(P46/INDEX(PARAMETER!$C$10:$C$14,MATCH(C46,PARAMETER!$B$10:$B$14,0)),""))</f>
        <v/>
      </c>
      <c r="S46" s="27">
        <f>IF($B46="","",CHOOSE(WEEKDAY(B46,2),"Sen","Sel","Rab","Kam","Jum","Sab","Min"))</f>
        <v/>
      </c>
      <c r="T46" s="28">
        <f>IF($B46="","",DATE(YEAR(B46),MONTH(B46),1))</f>
        <v/>
      </c>
      <c r="U46" s="25">
        <f>IF(OR(OR($B46="",$C46=""),H46=0,P46=0),"",H46/P46)</f>
        <v/>
      </c>
    </row>
    <row r="47">
      <c r="A47" s="20" t="inlineStr">
        <is>
          <t>P-0042</t>
        </is>
      </c>
      <c r="B47" s="23" t="n">
        <v>46317</v>
      </c>
      <c r="C47" s="20" t="inlineStr">
        <is>
          <t>Instagram</t>
        </is>
      </c>
      <c r="D47" s="20" t="inlineStr">
        <is>
          <t>Foto</t>
        </is>
      </c>
      <c r="E47" s="20" t="inlineStr">
        <is>
          <t>Edukasi</t>
        </is>
      </c>
      <c r="F47" s="20" t="inlineStr">
        <is>
          <t>Siang</t>
        </is>
      </c>
      <c r="G47" s="20" t="inlineStr">
        <is>
          <t>Tren industri #11</t>
        </is>
      </c>
      <c r="H47" s="24" t="n">
        <v>0</v>
      </c>
      <c r="I47" s="24" t="n">
        <v>9490</v>
      </c>
      <c r="J47" s="24" t="n">
        <v>11966</v>
      </c>
      <c r="K47" s="24" t="n">
        <v>535</v>
      </c>
      <c r="L47" s="24" t="n">
        <v>48</v>
      </c>
      <c r="M47" s="24" t="n">
        <v>41</v>
      </c>
      <c r="N47" s="24" t="n">
        <v>62</v>
      </c>
      <c r="O47" s="24" t="n">
        <v>40</v>
      </c>
      <c r="P47" s="25">
        <f>IF(OR($B47="",$C47=""),"",SUM(K47:N47))</f>
        <v/>
      </c>
      <c r="Q47" s="26">
        <f>IF(OR(OR($B47="",$C47=""),I47=0),"",P47/I47)</f>
        <v/>
      </c>
      <c r="R47" s="26">
        <f>IF(OR($B47="",$C47=""),"",IFERROR(P47/INDEX(PARAMETER!$C$10:$C$14,MATCH(C47,PARAMETER!$B$10:$B$14,0)),""))</f>
        <v/>
      </c>
      <c r="S47" s="27">
        <f>IF($B47="","",CHOOSE(WEEKDAY(B47,2),"Sen","Sel","Rab","Kam","Jum","Sab","Min"))</f>
        <v/>
      </c>
      <c r="T47" s="28">
        <f>IF($B47="","",DATE(YEAR(B47),MONTH(B47),1))</f>
        <v/>
      </c>
      <c r="U47" s="25">
        <f>IF(OR(OR($B47="",$C47=""),H47=0,P47=0),"",H47/P47)</f>
        <v/>
      </c>
    </row>
    <row r="48">
      <c r="A48" s="20" t="inlineStr">
        <is>
          <t>P-0043</t>
        </is>
      </c>
      <c r="B48" s="23" t="n">
        <v>46317</v>
      </c>
      <c r="C48" s="20" t="inlineStr">
        <is>
          <t>Instagram</t>
        </is>
      </c>
      <c r="D48" s="20" t="inlineStr">
        <is>
          <t>Reels</t>
        </is>
      </c>
      <c r="E48" s="20" t="inlineStr">
        <is>
          <t>Di Balik Layar</t>
        </is>
      </c>
      <c r="F48" s="20" t="inlineStr">
        <is>
          <t>Pagi</t>
        </is>
      </c>
      <c r="G48" s="20" t="inlineStr">
        <is>
          <t>Studi kasus pelanggan #37</t>
        </is>
      </c>
      <c r="H48" s="24" t="n">
        <v>150000</v>
      </c>
      <c r="I48" s="24" t="n">
        <v>21216</v>
      </c>
      <c r="J48" s="24" t="n">
        <v>26772</v>
      </c>
      <c r="K48" s="24" t="n">
        <v>976</v>
      </c>
      <c r="L48" s="24" t="n">
        <v>87</v>
      </c>
      <c r="M48" s="24" t="n">
        <v>75</v>
      </c>
      <c r="N48" s="24" t="n">
        <v>114</v>
      </c>
      <c r="O48" s="24" t="n">
        <v>143</v>
      </c>
      <c r="P48" s="25">
        <f>IF(OR($B48="",$C48=""),"",SUM(K48:N48))</f>
        <v/>
      </c>
      <c r="Q48" s="26">
        <f>IF(OR(OR($B48="",$C48=""),I48=0),"",P48/I48)</f>
        <v/>
      </c>
      <c r="R48" s="26">
        <f>IF(OR($B48="",$C48=""),"",IFERROR(P48/INDEX(PARAMETER!$C$10:$C$14,MATCH(C48,PARAMETER!$B$10:$B$14,0)),""))</f>
        <v/>
      </c>
      <c r="S48" s="27">
        <f>IF($B48="","",CHOOSE(WEEKDAY(B48,2),"Sen","Sel","Rab","Kam","Jum","Sab","Min"))</f>
        <v/>
      </c>
      <c r="T48" s="28">
        <f>IF($B48="","",DATE(YEAR(B48),MONTH(B48),1))</f>
        <v/>
      </c>
      <c r="U48" s="25">
        <f>IF(OR(OR($B48="",$C48=""),H48=0,P48=0),"",H48/P48)</f>
        <v/>
      </c>
    </row>
    <row r="49">
      <c r="A49" s="20" t="inlineStr">
        <is>
          <t>P-0044</t>
        </is>
      </c>
      <c r="B49" s="23" t="n">
        <v>46317</v>
      </c>
      <c r="C49" s="20" t="inlineStr">
        <is>
          <t>Instagram</t>
        </is>
      </c>
      <c r="D49" s="20" t="inlineStr">
        <is>
          <t>Video</t>
        </is>
      </c>
      <c r="E49" s="20" t="inlineStr">
        <is>
          <t>Di Balik Layar</t>
        </is>
      </c>
      <c r="F49" s="20" t="inlineStr">
        <is>
          <t>Sore</t>
        </is>
      </c>
      <c r="G49" s="20" t="inlineStr">
        <is>
          <t>Tim kami #43</t>
        </is>
      </c>
      <c r="H49" s="24" t="n">
        <v>150000</v>
      </c>
      <c r="I49" s="24" t="n">
        <v>10573</v>
      </c>
      <c r="J49" s="24" t="n">
        <v>14023</v>
      </c>
      <c r="K49" s="24" t="n">
        <v>398</v>
      </c>
      <c r="L49" s="24" t="n">
        <v>35</v>
      </c>
      <c r="M49" s="24" t="n">
        <v>30</v>
      </c>
      <c r="N49" s="24" t="n">
        <v>48</v>
      </c>
      <c r="O49" s="24" t="n">
        <v>111</v>
      </c>
      <c r="P49" s="25">
        <f>IF(OR($B49="",$C49=""),"",SUM(K49:N49))</f>
        <v/>
      </c>
      <c r="Q49" s="26">
        <f>IF(OR(OR($B49="",$C49=""),I49=0),"",P49/I49)</f>
        <v/>
      </c>
      <c r="R49" s="26">
        <f>IF(OR($B49="",$C49=""),"",IFERROR(P49/INDEX(PARAMETER!$C$10:$C$14,MATCH(C49,PARAMETER!$B$10:$B$14,0)),""))</f>
        <v/>
      </c>
      <c r="S49" s="27">
        <f>IF($B49="","",CHOOSE(WEEKDAY(B49,2),"Sen","Sel","Rab","Kam","Jum","Sab","Min"))</f>
        <v/>
      </c>
      <c r="T49" s="28">
        <f>IF($B49="","",DATE(YEAR(B49),MONTH(B49),1))</f>
        <v/>
      </c>
      <c r="U49" s="25">
        <f>IF(OR(OR($B49="",$C49=""),H49=0,P49=0),"",H49/P49)</f>
        <v/>
      </c>
    </row>
    <row r="50">
      <c r="A50" s="20" t="inlineStr">
        <is>
          <t>P-0045</t>
        </is>
      </c>
      <c r="B50" s="23" t="n">
        <v>46317</v>
      </c>
      <c r="C50" s="20" t="inlineStr">
        <is>
          <t>TikTok</t>
        </is>
      </c>
      <c r="D50" s="20" t="inlineStr">
        <is>
          <t>Story</t>
        </is>
      </c>
      <c r="E50" s="20" t="inlineStr">
        <is>
          <t>Hiburan</t>
        </is>
      </c>
      <c r="F50" s="20" t="inlineStr">
        <is>
          <t>Siang</t>
        </is>
      </c>
      <c r="G50" s="20" t="inlineStr">
        <is>
          <t>Tren industri #47</t>
        </is>
      </c>
      <c r="H50" s="24" t="n">
        <v>0</v>
      </c>
      <c r="I50" s="24" t="n">
        <v>7650</v>
      </c>
      <c r="J50" s="24" t="n">
        <v>9683</v>
      </c>
      <c r="K50" s="24" t="n">
        <v>134</v>
      </c>
      <c r="L50" s="24" t="n">
        <v>12</v>
      </c>
      <c r="M50" s="24" t="n">
        <v>10</v>
      </c>
      <c r="N50" s="24" t="n">
        <v>16</v>
      </c>
      <c r="O50" s="24" t="n">
        <v>43</v>
      </c>
      <c r="P50" s="25">
        <f>IF(OR($B50="",$C50=""),"",SUM(K50:N50))</f>
        <v/>
      </c>
      <c r="Q50" s="26">
        <f>IF(OR(OR($B50="",$C50=""),I50=0),"",P50/I50)</f>
        <v/>
      </c>
      <c r="R50" s="26">
        <f>IF(OR($B50="",$C50=""),"",IFERROR(P50/INDEX(PARAMETER!$C$10:$C$14,MATCH(C50,PARAMETER!$B$10:$B$14,0)),""))</f>
        <v/>
      </c>
      <c r="S50" s="27">
        <f>IF($B50="","",CHOOSE(WEEKDAY(B50,2),"Sen","Sel","Rab","Kam","Jum","Sab","Min"))</f>
        <v/>
      </c>
      <c r="T50" s="28">
        <f>IF($B50="","",DATE(YEAR(B50),MONTH(B50),1))</f>
        <v/>
      </c>
      <c r="U50" s="25">
        <f>IF(OR(OR($B50="",$C50=""),H50=0,P50=0),"",H50/P50)</f>
        <v/>
      </c>
    </row>
    <row r="51">
      <c r="A51" s="20" t="inlineStr">
        <is>
          <t>P-0046</t>
        </is>
      </c>
      <c r="B51" s="23" t="n">
        <v>46318</v>
      </c>
      <c r="C51" s="20" t="inlineStr">
        <is>
          <t>TikTok</t>
        </is>
      </c>
      <c r="D51" s="20" t="inlineStr">
        <is>
          <t>Story</t>
        </is>
      </c>
      <c r="E51" s="20" t="inlineStr">
        <is>
          <t>Edukasi</t>
        </is>
      </c>
      <c r="F51" s="20" t="inlineStr">
        <is>
          <t>Malam</t>
        </is>
      </c>
      <c r="G51" s="20" t="inlineStr">
        <is>
          <t>Promo akhir bulan #9</t>
        </is>
      </c>
      <c r="H51" s="24" t="n">
        <v>150000</v>
      </c>
      <c r="I51" s="24" t="n">
        <v>24345</v>
      </c>
      <c r="J51" s="24" t="n">
        <v>35210</v>
      </c>
      <c r="K51" s="24" t="n">
        <v>936</v>
      </c>
      <c r="L51" s="24" t="n">
        <v>84</v>
      </c>
      <c r="M51" s="24" t="n">
        <v>72</v>
      </c>
      <c r="N51" s="24" t="n">
        <v>109</v>
      </c>
      <c r="O51" s="24" t="n">
        <v>335</v>
      </c>
      <c r="P51" s="25">
        <f>IF(OR($B51="",$C51=""),"",SUM(K51:N51))</f>
        <v/>
      </c>
      <c r="Q51" s="26">
        <f>IF(OR(OR($B51="",$C51=""),I51=0),"",P51/I51)</f>
        <v/>
      </c>
      <c r="R51" s="26">
        <f>IF(OR($B51="",$C51=""),"",IFERROR(P51/INDEX(PARAMETER!$C$10:$C$14,MATCH(C51,PARAMETER!$B$10:$B$14,0)),""))</f>
        <v/>
      </c>
      <c r="S51" s="27">
        <f>IF($B51="","",CHOOSE(WEEKDAY(B51,2),"Sen","Sel","Rab","Kam","Jum","Sab","Min"))</f>
        <v/>
      </c>
      <c r="T51" s="28">
        <f>IF($B51="","",DATE(YEAR(B51),MONTH(B51),1))</f>
        <v/>
      </c>
      <c r="U51" s="25">
        <f>IF(OR(OR($B51="",$C51=""),H51=0,P51=0),"",H51/P51)</f>
        <v/>
      </c>
    </row>
    <row r="52">
      <c r="A52" s="20" t="inlineStr">
        <is>
          <t>P-0047</t>
        </is>
      </c>
      <c r="B52" s="23" t="n">
        <v>46320</v>
      </c>
      <c r="C52" s="20" t="inlineStr">
        <is>
          <t>Instagram</t>
        </is>
      </c>
      <c r="D52" s="20" t="inlineStr">
        <is>
          <t>Teks</t>
        </is>
      </c>
      <c r="E52" s="20" t="inlineStr">
        <is>
          <t>Bukti Sosial</t>
        </is>
      </c>
      <c r="F52" s="20" t="inlineStr">
        <is>
          <t>Malam</t>
        </is>
      </c>
      <c r="G52" s="20" t="inlineStr">
        <is>
          <t>Tips hemat #33</t>
        </is>
      </c>
      <c r="H52" s="24" t="n">
        <v>300000</v>
      </c>
      <c r="I52" s="24" t="n">
        <v>10311</v>
      </c>
      <c r="J52" s="24" t="n">
        <v>13511</v>
      </c>
      <c r="K52" s="24" t="n">
        <v>279</v>
      </c>
      <c r="L52" s="24" t="n">
        <v>25</v>
      </c>
      <c r="M52" s="24" t="n">
        <v>21</v>
      </c>
      <c r="N52" s="24" t="n">
        <v>33</v>
      </c>
      <c r="O52" s="24" t="n">
        <v>83</v>
      </c>
      <c r="P52" s="25">
        <f>IF(OR($B52="",$C52=""),"",SUM(K52:N52))</f>
        <v/>
      </c>
      <c r="Q52" s="26">
        <f>IF(OR(OR($B52="",$C52=""),I52=0),"",P52/I52)</f>
        <v/>
      </c>
      <c r="R52" s="26">
        <f>IF(OR($B52="",$C52=""),"",IFERROR(P52/INDEX(PARAMETER!$C$10:$C$14,MATCH(C52,PARAMETER!$B$10:$B$14,0)),""))</f>
        <v/>
      </c>
      <c r="S52" s="27">
        <f>IF($B52="","",CHOOSE(WEEKDAY(B52,2),"Sen","Sel","Rab","Kam","Jum","Sab","Min"))</f>
        <v/>
      </c>
      <c r="T52" s="28">
        <f>IF($B52="","",DATE(YEAR(B52),MONTH(B52),1))</f>
        <v/>
      </c>
      <c r="U52" s="25">
        <f>IF(OR(OR($B52="",$C52=""),H52=0,P52=0),"",H52/P52)</f>
        <v/>
      </c>
    </row>
    <row r="53">
      <c r="A53" s="20" t="inlineStr">
        <is>
          <t>P-0048</t>
        </is>
      </c>
      <c r="B53" s="23" t="n">
        <v>46321</v>
      </c>
      <c r="C53" s="20" t="inlineStr">
        <is>
          <t>TikTok</t>
        </is>
      </c>
      <c r="D53" s="20" t="inlineStr">
        <is>
          <t>Carousel</t>
        </is>
      </c>
      <c r="E53" s="20" t="inlineStr">
        <is>
          <t>Edukasi</t>
        </is>
      </c>
      <c r="F53" s="20" t="inlineStr">
        <is>
          <t>Malam</t>
        </is>
      </c>
      <c r="G53" s="20" t="inlineStr">
        <is>
          <t>Peluncuran produk #1</t>
        </is>
      </c>
      <c r="H53" s="24" t="n">
        <v>150000</v>
      </c>
      <c r="I53" s="24" t="n">
        <v>43166</v>
      </c>
      <c r="J53" s="24" t="n">
        <v>52667</v>
      </c>
      <c r="K53" s="24" t="n">
        <v>1600</v>
      </c>
      <c r="L53" s="24" t="n">
        <v>143</v>
      </c>
      <c r="M53" s="24" t="n">
        <v>123</v>
      </c>
      <c r="N53" s="24" t="n">
        <v>186</v>
      </c>
      <c r="O53" s="24" t="n">
        <v>189</v>
      </c>
      <c r="P53" s="25">
        <f>IF(OR($B53="",$C53=""),"",SUM(K53:N53))</f>
        <v/>
      </c>
      <c r="Q53" s="26">
        <f>IF(OR(OR($B53="",$C53=""),I53=0),"",P53/I53)</f>
        <v/>
      </c>
      <c r="R53" s="26">
        <f>IF(OR($B53="",$C53=""),"",IFERROR(P53/INDEX(PARAMETER!$C$10:$C$14,MATCH(C53,PARAMETER!$B$10:$B$14,0)),""))</f>
        <v/>
      </c>
      <c r="S53" s="27">
        <f>IF($B53="","",CHOOSE(WEEKDAY(B53,2),"Sen","Sel","Rab","Kam","Jum","Sab","Min"))</f>
        <v/>
      </c>
      <c r="T53" s="28">
        <f>IF($B53="","",DATE(YEAR(B53),MONTH(B53),1))</f>
        <v/>
      </c>
      <c r="U53" s="25">
        <f>IF(OR(OR($B53="",$C53=""),H53=0,P53=0),"",H53/P53)</f>
        <v/>
      </c>
    </row>
    <row r="54">
      <c r="A54" s="20" t="inlineStr">
        <is>
          <t>P-0049</t>
        </is>
      </c>
      <c r="B54" s="23" t="n">
        <v>46321</v>
      </c>
      <c r="C54" s="20" t="inlineStr">
        <is>
          <t>Instagram</t>
        </is>
      </c>
      <c r="D54" s="20" t="inlineStr">
        <is>
          <t>Video</t>
        </is>
      </c>
      <c r="E54" s="20" t="inlineStr">
        <is>
          <t>Edukasi</t>
        </is>
      </c>
      <c r="F54" s="20" t="inlineStr">
        <is>
          <t>Sore</t>
        </is>
      </c>
      <c r="G54" s="20" t="inlineStr">
        <is>
          <t>Kuis interaktif #3</t>
        </is>
      </c>
      <c r="H54" s="24" t="n">
        <v>0</v>
      </c>
      <c r="I54" s="24" t="n">
        <v>11898</v>
      </c>
      <c r="J54" s="24" t="n">
        <v>15795</v>
      </c>
      <c r="K54" s="24" t="n">
        <v>410</v>
      </c>
      <c r="L54" s="24" t="n">
        <v>36</v>
      </c>
      <c r="M54" s="24" t="n">
        <v>31</v>
      </c>
      <c r="N54" s="24" t="n">
        <v>49</v>
      </c>
      <c r="O54" s="24" t="n">
        <v>111</v>
      </c>
      <c r="P54" s="25">
        <f>IF(OR($B54="",$C54=""),"",SUM(K54:N54))</f>
        <v/>
      </c>
      <c r="Q54" s="26">
        <f>IF(OR(OR($B54="",$C54=""),I54=0),"",P54/I54)</f>
        <v/>
      </c>
      <c r="R54" s="26">
        <f>IF(OR($B54="",$C54=""),"",IFERROR(P54/INDEX(PARAMETER!$C$10:$C$14,MATCH(C54,PARAMETER!$B$10:$B$14,0)),""))</f>
        <v/>
      </c>
      <c r="S54" s="27">
        <f>IF($B54="","",CHOOSE(WEEKDAY(B54,2),"Sen","Sel","Rab","Kam","Jum","Sab","Min"))</f>
        <v/>
      </c>
      <c r="T54" s="28">
        <f>IF($B54="","",DATE(YEAR(B54),MONTH(B54),1))</f>
        <v/>
      </c>
      <c r="U54" s="25">
        <f>IF(OR(OR($B54="",$C54=""),H54=0,P54=0),"",H54/P54)</f>
        <v/>
      </c>
    </row>
    <row r="55">
      <c r="A55" s="20" t="inlineStr">
        <is>
          <t>P-0050</t>
        </is>
      </c>
      <c r="B55" s="23" t="n">
        <v>46324</v>
      </c>
      <c r="C55" s="20" t="inlineStr">
        <is>
          <t>Instagram</t>
        </is>
      </c>
      <c r="D55" s="20" t="inlineStr">
        <is>
          <t>Video</t>
        </is>
      </c>
      <c r="E55" s="20" t="inlineStr">
        <is>
          <t>Hiburan</t>
        </is>
      </c>
      <c r="F55" s="20" t="inlineStr">
        <is>
          <t>Siang</t>
        </is>
      </c>
      <c r="G55" s="20" t="inlineStr">
        <is>
          <t>Tips hemat #28</t>
        </is>
      </c>
      <c r="H55" s="24" t="n">
        <v>0</v>
      </c>
      <c r="I55" s="24" t="n">
        <v>19036</v>
      </c>
      <c r="J55" s="24" t="n">
        <v>26913</v>
      </c>
      <c r="K55" s="24" t="n">
        <v>917</v>
      </c>
      <c r="L55" s="24" t="n">
        <v>82</v>
      </c>
      <c r="M55" s="24" t="n">
        <v>70</v>
      </c>
      <c r="N55" s="24" t="n">
        <v>107</v>
      </c>
      <c r="O55" s="24" t="n">
        <v>141</v>
      </c>
      <c r="P55" s="25">
        <f>IF(OR($B55="",$C55=""),"",SUM(K55:N55))</f>
        <v/>
      </c>
      <c r="Q55" s="26">
        <f>IF(OR(OR($B55="",$C55=""),I55=0),"",P55/I55)</f>
        <v/>
      </c>
      <c r="R55" s="26">
        <f>IF(OR($B55="",$C55=""),"",IFERROR(P55/INDEX(PARAMETER!$C$10:$C$14,MATCH(C55,PARAMETER!$B$10:$B$14,0)),""))</f>
        <v/>
      </c>
      <c r="S55" s="27">
        <f>IF($B55="","",CHOOSE(WEEKDAY(B55,2),"Sen","Sel","Rab","Kam","Jum","Sab","Min"))</f>
        <v/>
      </c>
      <c r="T55" s="28">
        <f>IF($B55="","",DATE(YEAR(B55),MONTH(B55),1))</f>
        <v/>
      </c>
      <c r="U55" s="25">
        <f>IF(OR(OR($B55="",$C55=""),H55=0,P55=0),"",H55/P55)</f>
        <v/>
      </c>
    </row>
    <row r="56">
      <c r="A56" s="20" t="n"/>
      <c r="B56" s="23" t="n"/>
      <c r="C56" s="20" t="n"/>
      <c r="D56" s="20" t="n"/>
      <c r="E56" s="20" t="n"/>
      <c r="F56" s="20" t="n"/>
      <c r="G56" s="20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5">
        <f>IF(OR($B56="",$C56=""),"",SUM(K56:N56))</f>
        <v/>
      </c>
      <c r="Q56" s="26">
        <f>IF(OR(OR($B56="",$C56=""),I56=0),"",P56/I56)</f>
        <v/>
      </c>
      <c r="R56" s="26">
        <f>IF(OR($B56="",$C56=""),"",IFERROR(P56/INDEX(PARAMETER!$C$10:$C$14,MATCH(C56,PARAMETER!$B$10:$B$14,0)),""))</f>
        <v/>
      </c>
      <c r="S56" s="27">
        <f>IF($B56="","",CHOOSE(WEEKDAY(B56,2),"Sen","Sel","Rab","Kam","Jum","Sab","Min"))</f>
        <v/>
      </c>
      <c r="T56" s="28">
        <f>IF($B56="","",DATE(YEAR(B56),MONTH(B56),1))</f>
        <v/>
      </c>
      <c r="U56" s="25">
        <f>IF(OR(OR($B56="",$C56=""),H56=0,P56=0),"",H56/P56)</f>
        <v/>
      </c>
    </row>
    <row r="57">
      <c r="A57" s="20" t="n"/>
      <c r="B57" s="23" t="n"/>
      <c r="C57" s="20" t="n"/>
      <c r="D57" s="20" t="n"/>
      <c r="E57" s="20" t="n"/>
      <c r="F57" s="20" t="n"/>
      <c r="G57" s="20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5">
        <f>IF(OR($B57="",$C57=""),"",SUM(K57:N57))</f>
        <v/>
      </c>
      <c r="Q57" s="26">
        <f>IF(OR(OR($B57="",$C57=""),I57=0),"",P57/I57)</f>
        <v/>
      </c>
      <c r="R57" s="26">
        <f>IF(OR($B57="",$C57=""),"",IFERROR(P57/INDEX(PARAMETER!$C$10:$C$14,MATCH(C57,PARAMETER!$B$10:$B$14,0)),""))</f>
        <v/>
      </c>
      <c r="S57" s="27">
        <f>IF($B57="","",CHOOSE(WEEKDAY(B57,2),"Sen","Sel","Rab","Kam","Jum","Sab","Min"))</f>
        <v/>
      </c>
      <c r="T57" s="28">
        <f>IF($B57="","",DATE(YEAR(B57),MONTH(B57),1))</f>
        <v/>
      </c>
      <c r="U57" s="25">
        <f>IF(OR(OR($B57="",$C57=""),H57=0,P57=0),"",H57/P57)</f>
        <v/>
      </c>
    </row>
    <row r="58">
      <c r="A58" s="20" t="n"/>
      <c r="B58" s="23" t="n"/>
      <c r="C58" s="20" t="n"/>
      <c r="D58" s="20" t="n"/>
      <c r="E58" s="20" t="n"/>
      <c r="F58" s="20" t="n"/>
      <c r="G58" s="20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5">
        <f>IF(OR($B58="",$C58=""),"",SUM(K58:N58))</f>
        <v/>
      </c>
      <c r="Q58" s="26">
        <f>IF(OR(OR($B58="",$C58=""),I58=0),"",P58/I58)</f>
        <v/>
      </c>
      <c r="R58" s="26">
        <f>IF(OR($B58="",$C58=""),"",IFERROR(P58/INDEX(PARAMETER!$C$10:$C$14,MATCH(C58,PARAMETER!$B$10:$B$14,0)),""))</f>
        <v/>
      </c>
      <c r="S58" s="27">
        <f>IF($B58="","",CHOOSE(WEEKDAY(B58,2),"Sen","Sel","Rab","Kam","Jum","Sab","Min"))</f>
        <v/>
      </c>
      <c r="T58" s="28">
        <f>IF($B58="","",DATE(YEAR(B58),MONTH(B58),1))</f>
        <v/>
      </c>
      <c r="U58" s="25">
        <f>IF(OR(OR($B58="",$C58=""),H58=0,P58=0),"",H58/P58)</f>
        <v/>
      </c>
    </row>
    <row r="59">
      <c r="A59" s="20" t="n"/>
      <c r="B59" s="23" t="n"/>
      <c r="C59" s="20" t="n"/>
      <c r="D59" s="20" t="n"/>
      <c r="E59" s="20" t="n"/>
      <c r="F59" s="20" t="n"/>
      <c r="G59" s="20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5">
        <f>IF(OR($B59="",$C59=""),"",SUM(K59:N59))</f>
        <v/>
      </c>
      <c r="Q59" s="26">
        <f>IF(OR(OR($B59="",$C59=""),I59=0),"",P59/I59)</f>
        <v/>
      </c>
      <c r="R59" s="26">
        <f>IF(OR($B59="",$C59=""),"",IFERROR(P59/INDEX(PARAMETER!$C$10:$C$14,MATCH(C59,PARAMETER!$B$10:$B$14,0)),""))</f>
        <v/>
      </c>
      <c r="S59" s="27">
        <f>IF($B59="","",CHOOSE(WEEKDAY(B59,2),"Sen","Sel","Rab","Kam","Jum","Sab","Min"))</f>
        <v/>
      </c>
      <c r="T59" s="28">
        <f>IF($B59="","",DATE(YEAR(B59),MONTH(B59),1))</f>
        <v/>
      </c>
      <c r="U59" s="25">
        <f>IF(OR(OR($B59="",$C59=""),H59=0,P59=0),"",H59/P59)</f>
        <v/>
      </c>
    </row>
    <row r="60">
      <c r="A60" s="20" t="n"/>
      <c r="B60" s="23" t="n"/>
      <c r="C60" s="20" t="n"/>
      <c r="D60" s="20" t="n"/>
      <c r="E60" s="20" t="n"/>
      <c r="F60" s="20" t="n"/>
      <c r="G60" s="20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5">
        <f>IF(OR($B60="",$C60=""),"",SUM(K60:N60))</f>
        <v/>
      </c>
      <c r="Q60" s="26">
        <f>IF(OR(OR($B60="",$C60=""),I60=0),"",P60/I60)</f>
        <v/>
      </c>
      <c r="R60" s="26">
        <f>IF(OR($B60="",$C60=""),"",IFERROR(P60/INDEX(PARAMETER!$C$10:$C$14,MATCH(C60,PARAMETER!$B$10:$B$14,0)),""))</f>
        <v/>
      </c>
      <c r="S60" s="27">
        <f>IF($B60="","",CHOOSE(WEEKDAY(B60,2),"Sen","Sel","Rab","Kam","Jum","Sab","Min"))</f>
        <v/>
      </c>
      <c r="T60" s="28">
        <f>IF($B60="","",DATE(YEAR(B60),MONTH(B60),1))</f>
        <v/>
      </c>
      <c r="U60" s="25">
        <f>IF(OR(OR($B60="",$C60=""),H60=0,P60=0),"",H60/P60)</f>
        <v/>
      </c>
    </row>
    <row r="61">
      <c r="A61" s="20" t="n"/>
      <c r="B61" s="23" t="n"/>
      <c r="C61" s="20" t="n"/>
      <c r="D61" s="20" t="n"/>
      <c r="E61" s="20" t="n"/>
      <c r="F61" s="20" t="n"/>
      <c r="G61" s="20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5">
        <f>IF(OR($B61="",$C61=""),"",SUM(K61:N61))</f>
        <v/>
      </c>
      <c r="Q61" s="26">
        <f>IF(OR(OR($B61="",$C61=""),I61=0),"",P61/I61)</f>
        <v/>
      </c>
      <c r="R61" s="26">
        <f>IF(OR($B61="",$C61=""),"",IFERROR(P61/INDEX(PARAMETER!$C$10:$C$14,MATCH(C61,PARAMETER!$B$10:$B$14,0)),""))</f>
        <v/>
      </c>
      <c r="S61" s="27">
        <f>IF($B61="","",CHOOSE(WEEKDAY(B61,2),"Sen","Sel","Rab","Kam","Jum","Sab","Min"))</f>
        <v/>
      </c>
      <c r="T61" s="28">
        <f>IF($B61="","",DATE(YEAR(B61),MONTH(B61),1))</f>
        <v/>
      </c>
      <c r="U61" s="25">
        <f>IF(OR(OR($B61="",$C61=""),H61=0,P61=0),"",H61/P61)</f>
        <v/>
      </c>
    </row>
    <row r="62">
      <c r="A62" s="20" t="n"/>
      <c r="B62" s="23" t="n"/>
      <c r="C62" s="20" t="n"/>
      <c r="D62" s="20" t="n"/>
      <c r="E62" s="20" t="n"/>
      <c r="F62" s="20" t="n"/>
      <c r="G62" s="20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5">
        <f>IF(OR($B62="",$C62=""),"",SUM(K62:N62))</f>
        <v/>
      </c>
      <c r="Q62" s="26">
        <f>IF(OR(OR($B62="",$C62=""),I62=0),"",P62/I62)</f>
        <v/>
      </c>
      <c r="R62" s="26">
        <f>IF(OR($B62="",$C62=""),"",IFERROR(P62/INDEX(PARAMETER!$C$10:$C$14,MATCH(C62,PARAMETER!$B$10:$B$14,0)),""))</f>
        <v/>
      </c>
      <c r="S62" s="27">
        <f>IF($B62="","",CHOOSE(WEEKDAY(B62,2),"Sen","Sel","Rab","Kam","Jum","Sab","Min"))</f>
        <v/>
      </c>
      <c r="T62" s="28">
        <f>IF($B62="","",DATE(YEAR(B62),MONTH(B62),1))</f>
        <v/>
      </c>
      <c r="U62" s="25">
        <f>IF(OR(OR($B62="",$C62=""),H62=0,P62=0),"",H62/P62)</f>
        <v/>
      </c>
    </row>
    <row r="63">
      <c r="A63" s="20" t="n"/>
      <c r="B63" s="23" t="n"/>
      <c r="C63" s="20" t="n"/>
      <c r="D63" s="20" t="n"/>
      <c r="E63" s="20" t="n"/>
      <c r="F63" s="20" t="n"/>
      <c r="G63" s="20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5">
        <f>IF(OR($B63="",$C63=""),"",SUM(K63:N63))</f>
        <v/>
      </c>
      <c r="Q63" s="26">
        <f>IF(OR(OR($B63="",$C63=""),I63=0),"",P63/I63)</f>
        <v/>
      </c>
      <c r="R63" s="26">
        <f>IF(OR($B63="",$C63=""),"",IFERROR(P63/INDEX(PARAMETER!$C$10:$C$14,MATCH(C63,PARAMETER!$B$10:$B$14,0)),""))</f>
        <v/>
      </c>
      <c r="S63" s="27">
        <f>IF($B63="","",CHOOSE(WEEKDAY(B63,2),"Sen","Sel","Rab","Kam","Jum","Sab","Min"))</f>
        <v/>
      </c>
      <c r="T63" s="28">
        <f>IF($B63="","",DATE(YEAR(B63),MONTH(B63),1))</f>
        <v/>
      </c>
      <c r="U63" s="25">
        <f>IF(OR(OR($B63="",$C63=""),H63=0,P63=0),"",H63/P63)</f>
        <v/>
      </c>
    </row>
    <row r="64">
      <c r="A64" s="20" t="n"/>
      <c r="B64" s="23" t="n"/>
      <c r="C64" s="20" t="n"/>
      <c r="D64" s="20" t="n"/>
      <c r="E64" s="20" t="n"/>
      <c r="F64" s="20" t="n"/>
      <c r="G64" s="20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5">
        <f>IF(OR($B64="",$C64=""),"",SUM(K64:N64))</f>
        <v/>
      </c>
      <c r="Q64" s="26">
        <f>IF(OR(OR($B64="",$C64=""),I64=0),"",P64/I64)</f>
        <v/>
      </c>
      <c r="R64" s="26">
        <f>IF(OR($B64="",$C64=""),"",IFERROR(P64/INDEX(PARAMETER!$C$10:$C$14,MATCH(C64,PARAMETER!$B$10:$B$14,0)),""))</f>
        <v/>
      </c>
      <c r="S64" s="27">
        <f>IF($B64="","",CHOOSE(WEEKDAY(B64,2),"Sen","Sel","Rab","Kam","Jum","Sab","Min"))</f>
        <v/>
      </c>
      <c r="T64" s="28">
        <f>IF($B64="","",DATE(YEAR(B64),MONTH(B64),1))</f>
        <v/>
      </c>
      <c r="U64" s="25">
        <f>IF(OR(OR($B64="",$C64=""),H64=0,P64=0),"",H64/P64)</f>
        <v/>
      </c>
    </row>
    <row r="65">
      <c r="A65" s="20" t="n"/>
      <c r="B65" s="23" t="n"/>
      <c r="C65" s="20" t="n"/>
      <c r="D65" s="20" t="n"/>
      <c r="E65" s="20" t="n"/>
      <c r="F65" s="20" t="n"/>
      <c r="G65" s="20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5">
        <f>IF(OR($B65="",$C65=""),"",SUM(K65:N65))</f>
        <v/>
      </c>
      <c r="Q65" s="26">
        <f>IF(OR(OR($B65="",$C65=""),I65=0),"",P65/I65)</f>
        <v/>
      </c>
      <c r="R65" s="26">
        <f>IF(OR($B65="",$C65=""),"",IFERROR(P65/INDEX(PARAMETER!$C$10:$C$14,MATCH(C65,PARAMETER!$B$10:$B$14,0)),""))</f>
        <v/>
      </c>
      <c r="S65" s="27">
        <f>IF($B65="","",CHOOSE(WEEKDAY(B65,2),"Sen","Sel","Rab","Kam","Jum","Sab","Min"))</f>
        <v/>
      </c>
      <c r="T65" s="28">
        <f>IF($B65="","",DATE(YEAR(B65),MONTH(B65),1))</f>
        <v/>
      </c>
      <c r="U65" s="25">
        <f>IF(OR(OR($B65="",$C65=""),H65=0,P65=0),"",H65/P65)</f>
        <v/>
      </c>
    </row>
    <row r="66">
      <c r="A66" s="20" t="n"/>
      <c r="B66" s="23" t="n"/>
      <c r="C66" s="20" t="n"/>
      <c r="D66" s="20" t="n"/>
      <c r="E66" s="20" t="n"/>
      <c r="F66" s="20" t="n"/>
      <c r="G66" s="20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5">
        <f>IF(OR($B66="",$C66=""),"",SUM(K66:N66))</f>
        <v/>
      </c>
      <c r="Q66" s="26">
        <f>IF(OR(OR($B66="",$C66=""),I66=0),"",P66/I66)</f>
        <v/>
      </c>
      <c r="R66" s="26">
        <f>IF(OR($B66="",$C66=""),"",IFERROR(P66/INDEX(PARAMETER!$C$10:$C$14,MATCH(C66,PARAMETER!$B$10:$B$14,0)),""))</f>
        <v/>
      </c>
      <c r="S66" s="27">
        <f>IF($B66="","",CHOOSE(WEEKDAY(B66,2),"Sen","Sel","Rab","Kam","Jum","Sab","Min"))</f>
        <v/>
      </c>
      <c r="T66" s="28">
        <f>IF($B66="","",DATE(YEAR(B66),MONTH(B66),1))</f>
        <v/>
      </c>
      <c r="U66" s="25">
        <f>IF(OR(OR($B66="",$C66=""),H66=0,P66=0),"",H66/P66)</f>
        <v/>
      </c>
    </row>
    <row r="67">
      <c r="A67" s="20" t="n"/>
      <c r="B67" s="23" t="n"/>
      <c r="C67" s="20" t="n"/>
      <c r="D67" s="20" t="n"/>
      <c r="E67" s="20" t="n"/>
      <c r="F67" s="20" t="n"/>
      <c r="G67" s="20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5">
        <f>IF(OR($B67="",$C67=""),"",SUM(K67:N67))</f>
        <v/>
      </c>
      <c r="Q67" s="26">
        <f>IF(OR(OR($B67="",$C67=""),I67=0),"",P67/I67)</f>
        <v/>
      </c>
      <c r="R67" s="26">
        <f>IF(OR($B67="",$C67=""),"",IFERROR(P67/INDEX(PARAMETER!$C$10:$C$14,MATCH(C67,PARAMETER!$B$10:$B$14,0)),""))</f>
        <v/>
      </c>
      <c r="S67" s="27">
        <f>IF($B67="","",CHOOSE(WEEKDAY(B67,2),"Sen","Sel","Rab","Kam","Jum","Sab","Min"))</f>
        <v/>
      </c>
      <c r="T67" s="28">
        <f>IF($B67="","",DATE(YEAR(B67),MONTH(B67),1))</f>
        <v/>
      </c>
      <c r="U67" s="25">
        <f>IF(OR(OR($B67="",$C67=""),H67=0,P67=0),"",H67/P67)</f>
        <v/>
      </c>
    </row>
    <row r="68">
      <c r="A68" s="20" t="n"/>
      <c r="B68" s="23" t="n"/>
      <c r="C68" s="20" t="n"/>
      <c r="D68" s="20" t="n"/>
      <c r="E68" s="20" t="n"/>
      <c r="F68" s="20" t="n"/>
      <c r="G68" s="20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5">
        <f>IF(OR($B68="",$C68=""),"",SUM(K68:N68))</f>
        <v/>
      </c>
      <c r="Q68" s="26">
        <f>IF(OR(OR($B68="",$C68=""),I68=0),"",P68/I68)</f>
        <v/>
      </c>
      <c r="R68" s="26">
        <f>IF(OR($B68="",$C68=""),"",IFERROR(P68/INDEX(PARAMETER!$C$10:$C$14,MATCH(C68,PARAMETER!$B$10:$B$14,0)),""))</f>
        <v/>
      </c>
      <c r="S68" s="27">
        <f>IF($B68="","",CHOOSE(WEEKDAY(B68,2),"Sen","Sel","Rab","Kam","Jum","Sab","Min"))</f>
        <v/>
      </c>
      <c r="T68" s="28">
        <f>IF($B68="","",DATE(YEAR(B68),MONTH(B68),1))</f>
        <v/>
      </c>
      <c r="U68" s="25">
        <f>IF(OR(OR($B68="",$C68=""),H68=0,P68=0),"",H68/P68)</f>
        <v/>
      </c>
    </row>
    <row r="69">
      <c r="A69" s="20" t="n"/>
      <c r="B69" s="23" t="n"/>
      <c r="C69" s="20" t="n"/>
      <c r="D69" s="20" t="n"/>
      <c r="E69" s="20" t="n"/>
      <c r="F69" s="20" t="n"/>
      <c r="G69" s="20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5">
        <f>IF(OR($B69="",$C69=""),"",SUM(K69:N69))</f>
        <v/>
      </c>
      <c r="Q69" s="26">
        <f>IF(OR(OR($B69="",$C69=""),I69=0),"",P69/I69)</f>
        <v/>
      </c>
      <c r="R69" s="26">
        <f>IF(OR($B69="",$C69=""),"",IFERROR(P69/INDEX(PARAMETER!$C$10:$C$14,MATCH(C69,PARAMETER!$B$10:$B$14,0)),""))</f>
        <v/>
      </c>
      <c r="S69" s="27">
        <f>IF($B69="","",CHOOSE(WEEKDAY(B69,2),"Sen","Sel","Rab","Kam","Jum","Sab","Min"))</f>
        <v/>
      </c>
      <c r="T69" s="28">
        <f>IF($B69="","",DATE(YEAR(B69),MONTH(B69),1))</f>
        <v/>
      </c>
      <c r="U69" s="25">
        <f>IF(OR(OR($B69="",$C69=""),H69=0,P69=0),"",H69/P69)</f>
        <v/>
      </c>
    </row>
    <row r="70">
      <c r="A70" s="20" t="n"/>
      <c r="B70" s="23" t="n"/>
      <c r="C70" s="20" t="n"/>
      <c r="D70" s="20" t="n"/>
      <c r="E70" s="20" t="n"/>
      <c r="F70" s="20" t="n"/>
      <c r="G70" s="20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5">
        <f>IF(OR($B70="",$C70=""),"",SUM(K70:N70))</f>
        <v/>
      </c>
      <c r="Q70" s="26">
        <f>IF(OR(OR($B70="",$C70=""),I70=0),"",P70/I70)</f>
        <v/>
      </c>
      <c r="R70" s="26">
        <f>IF(OR($B70="",$C70=""),"",IFERROR(P70/INDEX(PARAMETER!$C$10:$C$14,MATCH(C70,PARAMETER!$B$10:$B$14,0)),""))</f>
        <v/>
      </c>
      <c r="S70" s="27">
        <f>IF($B70="","",CHOOSE(WEEKDAY(B70,2),"Sen","Sel","Rab","Kam","Jum","Sab","Min"))</f>
        <v/>
      </c>
      <c r="T70" s="28">
        <f>IF($B70="","",DATE(YEAR(B70),MONTH(B70),1))</f>
        <v/>
      </c>
      <c r="U70" s="25">
        <f>IF(OR(OR($B70="",$C70=""),H70=0,P70=0),"",H70/P70)</f>
        <v/>
      </c>
    </row>
    <row r="71">
      <c r="A71" s="20" t="n"/>
      <c r="B71" s="23" t="n"/>
      <c r="C71" s="20" t="n"/>
      <c r="D71" s="20" t="n"/>
      <c r="E71" s="20" t="n"/>
      <c r="F71" s="20" t="n"/>
      <c r="G71" s="20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5">
        <f>IF(OR($B71="",$C71=""),"",SUM(K71:N71))</f>
        <v/>
      </c>
      <c r="Q71" s="26">
        <f>IF(OR(OR($B71="",$C71=""),I71=0),"",P71/I71)</f>
        <v/>
      </c>
      <c r="R71" s="26">
        <f>IF(OR($B71="",$C71=""),"",IFERROR(P71/INDEX(PARAMETER!$C$10:$C$14,MATCH(C71,PARAMETER!$B$10:$B$14,0)),""))</f>
        <v/>
      </c>
      <c r="S71" s="27">
        <f>IF($B71="","",CHOOSE(WEEKDAY(B71,2),"Sen","Sel","Rab","Kam","Jum","Sab","Min"))</f>
        <v/>
      </c>
      <c r="T71" s="28">
        <f>IF($B71="","",DATE(YEAR(B71),MONTH(B71),1))</f>
        <v/>
      </c>
      <c r="U71" s="25">
        <f>IF(OR(OR($B71="",$C71=""),H71=0,P71=0),"",H71/P71)</f>
        <v/>
      </c>
    </row>
    <row r="72">
      <c r="A72" s="20" t="n"/>
      <c r="B72" s="23" t="n"/>
      <c r="C72" s="20" t="n"/>
      <c r="D72" s="20" t="n"/>
      <c r="E72" s="20" t="n"/>
      <c r="F72" s="20" t="n"/>
      <c r="G72" s="20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5">
        <f>IF(OR($B72="",$C72=""),"",SUM(K72:N72))</f>
        <v/>
      </c>
      <c r="Q72" s="26">
        <f>IF(OR(OR($B72="",$C72=""),I72=0),"",P72/I72)</f>
        <v/>
      </c>
      <c r="R72" s="26">
        <f>IF(OR($B72="",$C72=""),"",IFERROR(P72/INDEX(PARAMETER!$C$10:$C$14,MATCH(C72,PARAMETER!$B$10:$B$14,0)),""))</f>
        <v/>
      </c>
      <c r="S72" s="27">
        <f>IF($B72="","",CHOOSE(WEEKDAY(B72,2),"Sen","Sel","Rab","Kam","Jum","Sab","Min"))</f>
        <v/>
      </c>
      <c r="T72" s="28">
        <f>IF($B72="","",DATE(YEAR(B72),MONTH(B72),1))</f>
        <v/>
      </c>
      <c r="U72" s="25">
        <f>IF(OR(OR($B72="",$C72=""),H72=0,P72=0),"",H72/P72)</f>
        <v/>
      </c>
    </row>
    <row r="73">
      <c r="A73" s="20" t="n"/>
      <c r="B73" s="23" t="n"/>
      <c r="C73" s="20" t="n"/>
      <c r="D73" s="20" t="n"/>
      <c r="E73" s="20" t="n"/>
      <c r="F73" s="20" t="n"/>
      <c r="G73" s="20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5">
        <f>IF(OR($B73="",$C73=""),"",SUM(K73:N73))</f>
        <v/>
      </c>
      <c r="Q73" s="26">
        <f>IF(OR(OR($B73="",$C73=""),I73=0),"",P73/I73)</f>
        <v/>
      </c>
      <c r="R73" s="26">
        <f>IF(OR($B73="",$C73=""),"",IFERROR(P73/INDEX(PARAMETER!$C$10:$C$14,MATCH(C73,PARAMETER!$B$10:$B$14,0)),""))</f>
        <v/>
      </c>
      <c r="S73" s="27">
        <f>IF($B73="","",CHOOSE(WEEKDAY(B73,2),"Sen","Sel","Rab","Kam","Jum","Sab","Min"))</f>
        <v/>
      </c>
      <c r="T73" s="28">
        <f>IF($B73="","",DATE(YEAR(B73),MONTH(B73),1))</f>
        <v/>
      </c>
      <c r="U73" s="25">
        <f>IF(OR(OR($B73="",$C73=""),H73=0,P73=0),"",H73/P73)</f>
        <v/>
      </c>
    </row>
    <row r="74">
      <c r="A74" s="20" t="n"/>
      <c r="B74" s="23" t="n"/>
      <c r="C74" s="20" t="n"/>
      <c r="D74" s="20" t="n"/>
      <c r="E74" s="20" t="n"/>
      <c r="F74" s="20" t="n"/>
      <c r="G74" s="20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5">
        <f>IF(OR($B74="",$C74=""),"",SUM(K74:N74))</f>
        <v/>
      </c>
      <c r="Q74" s="26">
        <f>IF(OR(OR($B74="",$C74=""),I74=0),"",P74/I74)</f>
        <v/>
      </c>
      <c r="R74" s="26">
        <f>IF(OR($B74="",$C74=""),"",IFERROR(P74/INDEX(PARAMETER!$C$10:$C$14,MATCH(C74,PARAMETER!$B$10:$B$14,0)),""))</f>
        <v/>
      </c>
      <c r="S74" s="27">
        <f>IF($B74="","",CHOOSE(WEEKDAY(B74,2),"Sen","Sel","Rab","Kam","Jum","Sab","Min"))</f>
        <v/>
      </c>
      <c r="T74" s="28">
        <f>IF($B74="","",DATE(YEAR(B74),MONTH(B74),1))</f>
        <v/>
      </c>
      <c r="U74" s="25">
        <f>IF(OR(OR($B74="",$C74=""),H74=0,P74=0),"",H74/P74)</f>
        <v/>
      </c>
    </row>
    <row r="75">
      <c r="A75" s="20" t="n"/>
      <c r="B75" s="23" t="n"/>
      <c r="C75" s="20" t="n"/>
      <c r="D75" s="20" t="n"/>
      <c r="E75" s="20" t="n"/>
      <c r="F75" s="20" t="n"/>
      <c r="G75" s="20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5">
        <f>IF(OR($B75="",$C75=""),"",SUM(K75:N75))</f>
        <v/>
      </c>
      <c r="Q75" s="26">
        <f>IF(OR(OR($B75="",$C75=""),I75=0),"",P75/I75)</f>
        <v/>
      </c>
      <c r="R75" s="26">
        <f>IF(OR($B75="",$C75=""),"",IFERROR(P75/INDEX(PARAMETER!$C$10:$C$14,MATCH(C75,PARAMETER!$B$10:$B$14,0)),""))</f>
        <v/>
      </c>
      <c r="S75" s="27">
        <f>IF($B75="","",CHOOSE(WEEKDAY(B75,2),"Sen","Sel","Rab","Kam","Jum","Sab","Min"))</f>
        <v/>
      </c>
      <c r="T75" s="28">
        <f>IF($B75="","",DATE(YEAR(B75),MONTH(B75),1))</f>
        <v/>
      </c>
      <c r="U75" s="25">
        <f>IF(OR(OR($B75="",$C75=""),H75=0,P75=0),"",H75/P75)</f>
        <v/>
      </c>
    </row>
    <row r="76">
      <c r="A76" s="20" t="n"/>
      <c r="B76" s="23" t="n"/>
      <c r="C76" s="20" t="n"/>
      <c r="D76" s="20" t="n"/>
      <c r="E76" s="20" t="n"/>
      <c r="F76" s="20" t="n"/>
      <c r="G76" s="20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5">
        <f>IF(OR($B76="",$C76=""),"",SUM(K76:N76))</f>
        <v/>
      </c>
      <c r="Q76" s="26">
        <f>IF(OR(OR($B76="",$C76=""),I76=0),"",P76/I76)</f>
        <v/>
      </c>
      <c r="R76" s="26">
        <f>IF(OR($B76="",$C76=""),"",IFERROR(P76/INDEX(PARAMETER!$C$10:$C$14,MATCH(C76,PARAMETER!$B$10:$B$14,0)),""))</f>
        <v/>
      </c>
      <c r="S76" s="27">
        <f>IF($B76="","",CHOOSE(WEEKDAY(B76,2),"Sen","Sel","Rab","Kam","Jum","Sab","Min"))</f>
        <v/>
      </c>
      <c r="T76" s="28">
        <f>IF($B76="","",DATE(YEAR(B76),MONTH(B76),1))</f>
        <v/>
      </c>
      <c r="U76" s="25">
        <f>IF(OR(OR($B76="",$C76=""),H76=0,P76=0),"",H76/P76)</f>
        <v/>
      </c>
    </row>
    <row r="77">
      <c r="A77" s="20" t="n"/>
      <c r="B77" s="23" t="n"/>
      <c r="C77" s="20" t="n"/>
      <c r="D77" s="20" t="n"/>
      <c r="E77" s="20" t="n"/>
      <c r="F77" s="20" t="n"/>
      <c r="G77" s="20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5">
        <f>IF(OR($B77="",$C77=""),"",SUM(K77:N77))</f>
        <v/>
      </c>
      <c r="Q77" s="26">
        <f>IF(OR(OR($B77="",$C77=""),I77=0),"",P77/I77)</f>
        <v/>
      </c>
      <c r="R77" s="26">
        <f>IF(OR($B77="",$C77=""),"",IFERROR(P77/INDEX(PARAMETER!$C$10:$C$14,MATCH(C77,PARAMETER!$B$10:$B$14,0)),""))</f>
        <v/>
      </c>
      <c r="S77" s="27">
        <f>IF($B77="","",CHOOSE(WEEKDAY(B77,2),"Sen","Sel","Rab","Kam","Jum","Sab","Min"))</f>
        <v/>
      </c>
      <c r="T77" s="28">
        <f>IF($B77="","",DATE(YEAR(B77),MONTH(B77),1))</f>
        <v/>
      </c>
      <c r="U77" s="25">
        <f>IF(OR(OR($B77="",$C77=""),H77=0,P77=0),"",H77/P77)</f>
        <v/>
      </c>
    </row>
    <row r="78">
      <c r="A78" s="20" t="n"/>
      <c r="B78" s="23" t="n"/>
      <c r="C78" s="20" t="n"/>
      <c r="D78" s="20" t="n"/>
      <c r="E78" s="20" t="n"/>
      <c r="F78" s="20" t="n"/>
      <c r="G78" s="20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5">
        <f>IF(OR($B78="",$C78=""),"",SUM(K78:N78))</f>
        <v/>
      </c>
      <c r="Q78" s="26">
        <f>IF(OR(OR($B78="",$C78=""),I78=0),"",P78/I78)</f>
        <v/>
      </c>
      <c r="R78" s="26">
        <f>IF(OR($B78="",$C78=""),"",IFERROR(P78/INDEX(PARAMETER!$C$10:$C$14,MATCH(C78,PARAMETER!$B$10:$B$14,0)),""))</f>
        <v/>
      </c>
      <c r="S78" s="27">
        <f>IF($B78="","",CHOOSE(WEEKDAY(B78,2),"Sen","Sel","Rab","Kam","Jum","Sab","Min"))</f>
        <v/>
      </c>
      <c r="T78" s="28">
        <f>IF($B78="","",DATE(YEAR(B78),MONTH(B78),1))</f>
        <v/>
      </c>
      <c r="U78" s="25">
        <f>IF(OR(OR($B78="",$C78=""),H78=0,P78=0),"",H78/P78)</f>
        <v/>
      </c>
    </row>
    <row r="79">
      <c r="A79" s="20" t="n"/>
      <c r="B79" s="23" t="n"/>
      <c r="C79" s="20" t="n"/>
      <c r="D79" s="20" t="n"/>
      <c r="E79" s="20" t="n"/>
      <c r="F79" s="20" t="n"/>
      <c r="G79" s="20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5">
        <f>IF(OR($B79="",$C79=""),"",SUM(K79:N79))</f>
        <v/>
      </c>
      <c r="Q79" s="26">
        <f>IF(OR(OR($B79="",$C79=""),I79=0),"",P79/I79)</f>
        <v/>
      </c>
      <c r="R79" s="26">
        <f>IF(OR($B79="",$C79=""),"",IFERROR(P79/INDEX(PARAMETER!$C$10:$C$14,MATCH(C79,PARAMETER!$B$10:$B$14,0)),""))</f>
        <v/>
      </c>
      <c r="S79" s="27">
        <f>IF($B79="","",CHOOSE(WEEKDAY(B79,2),"Sen","Sel","Rab","Kam","Jum","Sab","Min"))</f>
        <v/>
      </c>
      <c r="T79" s="28">
        <f>IF($B79="","",DATE(YEAR(B79),MONTH(B79),1))</f>
        <v/>
      </c>
      <c r="U79" s="25">
        <f>IF(OR(OR($B79="",$C79=""),H79=0,P79=0),"",H79/P79)</f>
        <v/>
      </c>
    </row>
    <row r="80">
      <c r="A80" s="20" t="n"/>
      <c r="B80" s="23" t="n"/>
      <c r="C80" s="20" t="n"/>
      <c r="D80" s="20" t="n"/>
      <c r="E80" s="20" t="n"/>
      <c r="F80" s="20" t="n"/>
      <c r="G80" s="20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5">
        <f>IF(OR($B80="",$C80=""),"",SUM(K80:N80))</f>
        <v/>
      </c>
      <c r="Q80" s="26">
        <f>IF(OR(OR($B80="",$C80=""),I80=0),"",P80/I80)</f>
        <v/>
      </c>
      <c r="R80" s="26">
        <f>IF(OR($B80="",$C80=""),"",IFERROR(P80/INDEX(PARAMETER!$C$10:$C$14,MATCH(C80,PARAMETER!$B$10:$B$14,0)),""))</f>
        <v/>
      </c>
      <c r="S80" s="27">
        <f>IF($B80="","",CHOOSE(WEEKDAY(B80,2),"Sen","Sel","Rab","Kam","Jum","Sab","Min"))</f>
        <v/>
      </c>
      <c r="T80" s="28">
        <f>IF($B80="","",DATE(YEAR(B80),MONTH(B80),1))</f>
        <v/>
      </c>
      <c r="U80" s="25">
        <f>IF(OR(OR($B80="",$C80=""),H80=0,P80=0),"",H80/P80)</f>
        <v/>
      </c>
    </row>
    <row r="81">
      <c r="A81" s="20" t="n"/>
      <c r="B81" s="23" t="n"/>
      <c r="C81" s="20" t="n"/>
      <c r="D81" s="20" t="n"/>
      <c r="E81" s="20" t="n"/>
      <c r="F81" s="20" t="n"/>
      <c r="G81" s="20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5">
        <f>IF(OR($B81="",$C81=""),"",SUM(K81:N81))</f>
        <v/>
      </c>
      <c r="Q81" s="26">
        <f>IF(OR(OR($B81="",$C81=""),I81=0),"",P81/I81)</f>
        <v/>
      </c>
      <c r="R81" s="26">
        <f>IF(OR($B81="",$C81=""),"",IFERROR(P81/INDEX(PARAMETER!$C$10:$C$14,MATCH(C81,PARAMETER!$B$10:$B$14,0)),""))</f>
        <v/>
      </c>
      <c r="S81" s="27">
        <f>IF($B81="","",CHOOSE(WEEKDAY(B81,2),"Sen","Sel","Rab","Kam","Jum","Sab","Min"))</f>
        <v/>
      </c>
      <c r="T81" s="28">
        <f>IF($B81="","",DATE(YEAR(B81),MONTH(B81),1))</f>
        <v/>
      </c>
      <c r="U81" s="25">
        <f>IF(OR(OR($B81="",$C81=""),H81=0,P81=0),"",H81/P81)</f>
        <v/>
      </c>
    </row>
    <row r="82">
      <c r="A82" s="20" t="n"/>
      <c r="B82" s="23" t="n"/>
      <c r="C82" s="20" t="n"/>
      <c r="D82" s="20" t="n"/>
      <c r="E82" s="20" t="n"/>
      <c r="F82" s="20" t="n"/>
      <c r="G82" s="20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5">
        <f>IF(OR($B82="",$C82=""),"",SUM(K82:N82))</f>
        <v/>
      </c>
      <c r="Q82" s="26">
        <f>IF(OR(OR($B82="",$C82=""),I82=0),"",P82/I82)</f>
        <v/>
      </c>
      <c r="R82" s="26">
        <f>IF(OR($B82="",$C82=""),"",IFERROR(P82/INDEX(PARAMETER!$C$10:$C$14,MATCH(C82,PARAMETER!$B$10:$B$14,0)),""))</f>
        <v/>
      </c>
      <c r="S82" s="27">
        <f>IF($B82="","",CHOOSE(WEEKDAY(B82,2),"Sen","Sel","Rab","Kam","Jum","Sab","Min"))</f>
        <v/>
      </c>
      <c r="T82" s="28">
        <f>IF($B82="","",DATE(YEAR(B82),MONTH(B82),1))</f>
        <v/>
      </c>
      <c r="U82" s="25">
        <f>IF(OR(OR($B82="",$C82=""),H82=0,P82=0),"",H82/P82)</f>
        <v/>
      </c>
    </row>
    <row r="83">
      <c r="A83" s="20" t="n"/>
      <c r="B83" s="23" t="n"/>
      <c r="C83" s="20" t="n"/>
      <c r="D83" s="20" t="n"/>
      <c r="E83" s="20" t="n"/>
      <c r="F83" s="20" t="n"/>
      <c r="G83" s="20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5">
        <f>IF(OR($B83="",$C83=""),"",SUM(K83:N83))</f>
        <v/>
      </c>
      <c r="Q83" s="26">
        <f>IF(OR(OR($B83="",$C83=""),I83=0),"",P83/I83)</f>
        <v/>
      </c>
      <c r="R83" s="26">
        <f>IF(OR($B83="",$C83=""),"",IFERROR(P83/INDEX(PARAMETER!$C$10:$C$14,MATCH(C83,PARAMETER!$B$10:$B$14,0)),""))</f>
        <v/>
      </c>
      <c r="S83" s="27">
        <f>IF($B83="","",CHOOSE(WEEKDAY(B83,2),"Sen","Sel","Rab","Kam","Jum","Sab","Min"))</f>
        <v/>
      </c>
      <c r="T83" s="28">
        <f>IF($B83="","",DATE(YEAR(B83),MONTH(B83),1))</f>
        <v/>
      </c>
      <c r="U83" s="25">
        <f>IF(OR(OR($B83="",$C83=""),H83=0,P83=0),"",H83/P83)</f>
        <v/>
      </c>
    </row>
    <row r="84">
      <c r="A84" s="20" t="n"/>
      <c r="B84" s="23" t="n"/>
      <c r="C84" s="20" t="n"/>
      <c r="D84" s="20" t="n"/>
      <c r="E84" s="20" t="n"/>
      <c r="F84" s="20" t="n"/>
      <c r="G84" s="20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5">
        <f>IF(OR($B84="",$C84=""),"",SUM(K84:N84))</f>
        <v/>
      </c>
      <c r="Q84" s="26">
        <f>IF(OR(OR($B84="",$C84=""),I84=0),"",P84/I84)</f>
        <v/>
      </c>
      <c r="R84" s="26">
        <f>IF(OR($B84="",$C84=""),"",IFERROR(P84/INDEX(PARAMETER!$C$10:$C$14,MATCH(C84,PARAMETER!$B$10:$B$14,0)),""))</f>
        <v/>
      </c>
      <c r="S84" s="27">
        <f>IF($B84="","",CHOOSE(WEEKDAY(B84,2),"Sen","Sel","Rab","Kam","Jum","Sab","Min"))</f>
        <v/>
      </c>
      <c r="T84" s="28">
        <f>IF($B84="","",DATE(YEAR(B84),MONTH(B84),1))</f>
        <v/>
      </c>
      <c r="U84" s="25">
        <f>IF(OR(OR($B84="",$C84=""),H84=0,P84=0),"",H84/P84)</f>
        <v/>
      </c>
    </row>
    <row r="85">
      <c r="A85" s="20" t="n"/>
      <c r="B85" s="23" t="n"/>
      <c r="C85" s="20" t="n"/>
      <c r="D85" s="20" t="n"/>
      <c r="E85" s="20" t="n"/>
      <c r="F85" s="20" t="n"/>
      <c r="G85" s="20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5">
        <f>IF(OR($B85="",$C85=""),"",SUM(K85:N85))</f>
        <v/>
      </c>
      <c r="Q85" s="26">
        <f>IF(OR(OR($B85="",$C85=""),I85=0),"",P85/I85)</f>
        <v/>
      </c>
      <c r="R85" s="26">
        <f>IF(OR($B85="",$C85=""),"",IFERROR(P85/INDEX(PARAMETER!$C$10:$C$14,MATCH(C85,PARAMETER!$B$10:$B$14,0)),""))</f>
        <v/>
      </c>
      <c r="S85" s="27">
        <f>IF($B85="","",CHOOSE(WEEKDAY(B85,2),"Sen","Sel","Rab","Kam","Jum","Sab","Min"))</f>
        <v/>
      </c>
      <c r="T85" s="28">
        <f>IF($B85="","",DATE(YEAR(B85),MONTH(B85),1))</f>
        <v/>
      </c>
      <c r="U85" s="25">
        <f>IF(OR(OR($B85="",$C85=""),H85=0,P85=0),"",H85/P85)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U85"/>
  <mergeCells count="1">
    <mergeCell ref="A3:U3"/>
  </mergeCells>
  <conditionalFormatting sqref="Q6:Q85">
    <cfRule type="colorScale" priority="1">
      <colorScale>
        <cfvo type="num" val="0.01"/>
        <cfvo type="num" val="0.045"/>
        <cfvo type="num" val="0.09"/>
        <color rgb="00F8696B"/>
        <color rgb="00FFFFFF"/>
        <color rgb="0063BE7B"/>
      </colorScale>
    </cfRule>
  </conditionalFormatting>
  <dataValidations count="4">
    <dataValidation sqref="C6:C85" showDropDown="0" showInputMessage="0" showErrorMessage="0" allowBlank="1" type="list">
      <formula1>=PARAMETER!$B$10:$B$14</formula1>
    </dataValidation>
    <dataValidation sqref="D6:D85" showDropDown="0" showInputMessage="0" showErrorMessage="0" allowBlank="1" type="list">
      <formula1>=PARAMETER!$B$17:$B$22</formula1>
    </dataValidation>
    <dataValidation sqref="E6:E85" showDropDown="0" showInputMessage="0" showErrorMessage="0" allowBlank="1" type="list">
      <formula1>=PARAMETER!$B$25:$B$29</formula1>
    </dataValidation>
    <dataValidation sqref="F6:F85" showDropDown="0" showInputMessage="0" showErrorMessage="0" allowBlank="1" type="list">
      <formula1>=PARAMETER!$B$32:$B$35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</cols>
  <sheetData>
    <row r="1" ht="24" customHeight="1">
      <c r="A1" s="13" t="inlineStr">
        <is>
          <t>Ringkasan Performa</t>
        </is>
      </c>
    </row>
    <row r="2">
      <c r="A2" s="14">
        <f>"Per tanggal "&amp;TEXT(PARAMETER!C5,"dd-mmm-yyyy")&amp;"  |  Target ER "&amp;TEXT(PARAMETER!C6,"0.0%")</f>
        <v/>
      </c>
    </row>
    <row r="3">
      <c r="A3" s="15" t="inlineStr">
        <is>
          <t>VERSI DEMO: kapasitas &amp; fitur dibatasi, data simulasi. Versi lengkap: WhatsApp 089623291732</t>
        </is>
      </c>
    </row>
    <row r="5">
      <c r="A5" s="6" t="inlineStr">
        <is>
          <t>PER PLATFORM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34" customHeight="1">
      <c r="A6" s="19" t="inlineStr">
        <is>
          <t>Kategori</t>
        </is>
      </c>
      <c r="B6" s="19" t="inlineStr">
        <is>
          <t>Posting</t>
        </is>
      </c>
      <c r="C6" s="19" t="inlineStr">
        <is>
          <t>Jangkauan</t>
        </is>
      </c>
      <c r="D6" s="19" t="inlineStr">
        <is>
          <t>Interaksi</t>
        </is>
      </c>
      <c r="E6" s="19" t="inlineStr">
        <is>
          <t>ER Jangkauan</t>
        </is>
      </c>
      <c r="F6" s="19" t="inlineStr">
        <is>
          <t>vs Target</t>
        </is>
      </c>
      <c r="G6" s="19" t="inlineStr">
        <is>
          <t>Biaya Iklan (Rp)</t>
        </is>
      </c>
      <c r="H6" s="19" t="inlineStr">
        <is>
          <t>Biaya/Interaksi (Rp)</t>
        </is>
      </c>
      <c r="I6" s="19" t="inlineStr">
        <is>
          <t>Rata-rata Jangkauan</t>
        </is>
      </c>
    </row>
    <row r="7">
      <c r="A7" s="22">
        <f>IF(PARAMETER!B10="","",PARAMETER!B10)</f>
        <v/>
      </c>
      <c r="B7" s="29">
        <f>IF($A7="","",COUNTIFS(POSTINGAN!$C$6:$C$85,$A7))</f>
        <v/>
      </c>
      <c r="C7" s="25">
        <f>IF($A7="","",SUMIFS(POSTINGAN!$I$6:$I$85,POSTINGAN!$C$6:$C$85,$A7))</f>
        <v/>
      </c>
      <c r="D7" s="25">
        <f>IF($A7="","",SUMIFS(POSTINGAN!$P$6:$P$85,POSTINGAN!$C$6:$C$85,$A7))</f>
        <v/>
      </c>
      <c r="E7" s="26">
        <f>IF($A7="","",IF(C7=0,0,D7/C7))</f>
        <v/>
      </c>
      <c r="F7" s="30">
        <f>IF($A7="","",E7-PARAMETER!$C$6)</f>
        <v/>
      </c>
      <c r="G7" s="31">
        <f>IF($A7="","",SUMIFS(POSTINGAN!$H$6:$H$85,POSTINGAN!$C$6:$C$85,$A7))</f>
        <v/>
      </c>
      <c r="H7" s="31">
        <f>IF($A7="","",IF(OR(G7=0,D7=0),0,G7/D7))</f>
        <v/>
      </c>
      <c r="I7" s="25">
        <f>IF($A7="","",IF(B7=0,0,C7/B7))</f>
        <v/>
      </c>
    </row>
    <row r="8">
      <c r="A8" s="22">
        <f>IF(PARAMETER!B11="","",PARAMETER!B11)</f>
        <v/>
      </c>
      <c r="B8" s="29">
        <f>IF($A8="","",COUNTIFS(POSTINGAN!$C$6:$C$85,$A8))</f>
        <v/>
      </c>
      <c r="C8" s="25">
        <f>IF($A8="","",SUMIFS(POSTINGAN!$I$6:$I$85,POSTINGAN!$C$6:$C$85,$A8))</f>
        <v/>
      </c>
      <c r="D8" s="25">
        <f>IF($A8="","",SUMIFS(POSTINGAN!$P$6:$P$85,POSTINGAN!$C$6:$C$85,$A8))</f>
        <v/>
      </c>
      <c r="E8" s="26">
        <f>IF($A8="","",IF(C8=0,0,D8/C8))</f>
        <v/>
      </c>
      <c r="F8" s="30">
        <f>IF($A8="","",E8-PARAMETER!$C$6)</f>
        <v/>
      </c>
      <c r="G8" s="31">
        <f>IF($A8="","",SUMIFS(POSTINGAN!$H$6:$H$85,POSTINGAN!$C$6:$C$85,$A8))</f>
        <v/>
      </c>
      <c r="H8" s="31">
        <f>IF($A8="","",IF(OR(G8=0,D8=0),0,G8/D8))</f>
        <v/>
      </c>
      <c r="I8" s="25">
        <f>IF($A8="","",IF(B8=0,0,C8/B8))</f>
        <v/>
      </c>
    </row>
    <row r="9">
      <c r="A9" s="22">
        <f>IF(PARAMETER!B12="","",PARAMETER!B12)</f>
        <v/>
      </c>
      <c r="B9" s="29">
        <f>IF($A9="","",COUNTIFS(POSTINGAN!$C$6:$C$85,$A9))</f>
        <v/>
      </c>
      <c r="C9" s="25">
        <f>IF($A9="","",SUMIFS(POSTINGAN!$I$6:$I$85,POSTINGAN!$C$6:$C$85,$A9))</f>
        <v/>
      </c>
      <c r="D9" s="25">
        <f>IF($A9="","",SUMIFS(POSTINGAN!$P$6:$P$85,POSTINGAN!$C$6:$C$85,$A9))</f>
        <v/>
      </c>
      <c r="E9" s="26">
        <f>IF($A9="","",IF(C9=0,0,D9/C9))</f>
        <v/>
      </c>
      <c r="F9" s="30">
        <f>IF($A9="","",E9-PARAMETER!$C$6)</f>
        <v/>
      </c>
      <c r="G9" s="31">
        <f>IF($A9="","",SUMIFS(POSTINGAN!$H$6:$H$85,POSTINGAN!$C$6:$C$85,$A9))</f>
        <v/>
      </c>
      <c r="H9" s="31">
        <f>IF($A9="","",IF(OR(G9=0,D9=0),0,G9/D9))</f>
        <v/>
      </c>
      <c r="I9" s="25">
        <f>IF($A9="","",IF(B9=0,0,C9/B9))</f>
        <v/>
      </c>
    </row>
    <row r="10">
      <c r="A10" s="22">
        <f>IF(PARAMETER!B13="","",PARAMETER!B13)</f>
        <v/>
      </c>
      <c r="B10" s="29">
        <f>IF($A10="","",COUNTIFS(POSTINGAN!$C$6:$C$85,$A10))</f>
        <v/>
      </c>
      <c r="C10" s="25">
        <f>IF($A10="","",SUMIFS(POSTINGAN!$I$6:$I$85,POSTINGAN!$C$6:$C$85,$A10))</f>
        <v/>
      </c>
      <c r="D10" s="25">
        <f>IF($A10="","",SUMIFS(POSTINGAN!$P$6:$P$85,POSTINGAN!$C$6:$C$85,$A10))</f>
        <v/>
      </c>
      <c r="E10" s="26">
        <f>IF($A10="","",IF(C10=0,0,D10/C10))</f>
        <v/>
      </c>
      <c r="F10" s="30">
        <f>IF($A10="","",E10-PARAMETER!$C$6)</f>
        <v/>
      </c>
      <c r="G10" s="31">
        <f>IF($A10="","",SUMIFS(POSTINGAN!$H$6:$H$85,POSTINGAN!$C$6:$C$85,$A10))</f>
        <v/>
      </c>
      <c r="H10" s="31">
        <f>IF($A10="","",IF(OR(G10=0,D10=0),0,G10/D10))</f>
        <v/>
      </c>
      <c r="I10" s="25">
        <f>IF($A10="","",IF(B10=0,0,C10/B10))</f>
        <v/>
      </c>
    </row>
    <row r="11">
      <c r="A11" s="22">
        <f>IF(PARAMETER!B14="","",PARAMETER!B14)</f>
        <v/>
      </c>
      <c r="B11" s="29">
        <f>IF($A11="","",COUNTIFS(POSTINGAN!$C$6:$C$85,$A11))</f>
        <v/>
      </c>
      <c r="C11" s="25">
        <f>IF($A11="","",SUMIFS(POSTINGAN!$I$6:$I$85,POSTINGAN!$C$6:$C$85,$A11))</f>
        <v/>
      </c>
      <c r="D11" s="25">
        <f>IF($A11="","",SUMIFS(POSTINGAN!$P$6:$P$85,POSTINGAN!$C$6:$C$85,$A11))</f>
        <v/>
      </c>
      <c r="E11" s="26">
        <f>IF($A11="","",IF(C11=0,0,D11/C11))</f>
        <v/>
      </c>
      <c r="F11" s="30">
        <f>IF($A11="","",E11-PARAMETER!$C$6)</f>
        <v/>
      </c>
      <c r="G11" s="31">
        <f>IF($A11="","",SUMIFS(POSTINGAN!$H$6:$H$85,POSTINGAN!$C$6:$C$85,$A11))</f>
        <v/>
      </c>
      <c r="H11" s="31">
        <f>IF($A11="","",IF(OR(G11=0,D11=0),0,G11/D11))</f>
        <v/>
      </c>
      <c r="I11" s="25">
        <f>IF($A11="","",IF(B11=0,0,C11/B11))</f>
        <v/>
      </c>
    </row>
    <row r="12">
      <c r="A12" s="32" t="inlineStr">
        <is>
          <t>TOTAL</t>
        </is>
      </c>
      <c r="B12" s="33">
        <f>SUM(B7:B11)</f>
        <v/>
      </c>
      <c r="C12" s="34">
        <f>SUM(C7:C11)</f>
        <v/>
      </c>
      <c r="D12" s="34">
        <f>SUM(D7:D11)</f>
        <v/>
      </c>
      <c r="E12" s="35">
        <f>IF(C12=0,0,D12/C12)</f>
        <v/>
      </c>
      <c r="F12" s="36">
        <f>E12-PARAMETER!$C$6</f>
        <v/>
      </c>
      <c r="G12" s="37">
        <f>SUM(G7:G11)</f>
        <v/>
      </c>
      <c r="H12" s="37">
        <f>IF(OR(G12=0,D12=0),0,G12/D12)</f>
        <v/>
      </c>
      <c r="I12" s="34">
        <f>IF(B12=0,0,C12/B12)</f>
        <v/>
      </c>
    </row>
    <row r="14">
      <c r="A14" s="6" t="inlineStr">
        <is>
          <t>PER FORMAT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4" customHeight="1">
      <c r="A15" s="19" t="inlineStr">
        <is>
          <t>Kategori</t>
        </is>
      </c>
      <c r="B15" s="19" t="inlineStr">
        <is>
          <t>Posting</t>
        </is>
      </c>
      <c r="C15" s="19" t="inlineStr">
        <is>
          <t>Jangkauan</t>
        </is>
      </c>
      <c r="D15" s="19" t="inlineStr">
        <is>
          <t>Interaksi</t>
        </is>
      </c>
      <c r="E15" s="19" t="inlineStr">
        <is>
          <t>ER Jangkauan</t>
        </is>
      </c>
      <c r="F15" s="19" t="inlineStr">
        <is>
          <t>vs Target</t>
        </is>
      </c>
      <c r="G15" s="19" t="inlineStr">
        <is>
          <t>Biaya Iklan (Rp)</t>
        </is>
      </c>
      <c r="H15" s="19" t="inlineStr">
        <is>
          <t>Biaya/Interaksi (Rp)</t>
        </is>
      </c>
      <c r="I15" s="19" t="inlineStr">
        <is>
          <t>Rata-rata Jangkauan</t>
        </is>
      </c>
    </row>
    <row r="16">
      <c r="A16" s="22">
        <f>IF(PARAMETER!B17="","",PARAMETER!B17)</f>
        <v/>
      </c>
      <c r="B16" s="29">
        <f>IF($A16="","",COUNTIFS(POSTINGAN!$D$6:$D$85,$A16))</f>
        <v/>
      </c>
      <c r="C16" s="25">
        <f>IF($A16="","",SUMIFS(POSTINGAN!$I$6:$I$85,POSTINGAN!$D$6:$D$85,$A16))</f>
        <v/>
      </c>
      <c r="D16" s="25">
        <f>IF($A16="","",SUMIFS(POSTINGAN!$P$6:$P$85,POSTINGAN!$D$6:$D$85,$A16))</f>
        <v/>
      </c>
      <c r="E16" s="26">
        <f>IF($A16="","",IF(C16=0,0,D16/C16))</f>
        <v/>
      </c>
      <c r="F16" s="30">
        <f>IF($A16="","",E16-PARAMETER!$C$6)</f>
        <v/>
      </c>
      <c r="G16" s="31">
        <f>IF($A16="","",SUMIFS(POSTINGAN!$H$6:$H$85,POSTINGAN!$D$6:$D$85,$A16))</f>
        <v/>
      </c>
      <c r="H16" s="31">
        <f>IF($A16="","",IF(OR(G16=0,D16=0),0,G16/D16))</f>
        <v/>
      </c>
      <c r="I16" s="25">
        <f>IF($A16="","",IF(B16=0,0,C16/B16))</f>
        <v/>
      </c>
    </row>
    <row r="17">
      <c r="A17" s="22">
        <f>IF(PARAMETER!B18="","",PARAMETER!B18)</f>
        <v/>
      </c>
      <c r="B17" s="29">
        <f>IF($A17="","",COUNTIFS(POSTINGAN!$D$6:$D$85,$A17))</f>
        <v/>
      </c>
      <c r="C17" s="25">
        <f>IF($A17="","",SUMIFS(POSTINGAN!$I$6:$I$85,POSTINGAN!$D$6:$D$85,$A17))</f>
        <v/>
      </c>
      <c r="D17" s="25">
        <f>IF($A17="","",SUMIFS(POSTINGAN!$P$6:$P$85,POSTINGAN!$D$6:$D$85,$A17))</f>
        <v/>
      </c>
      <c r="E17" s="26">
        <f>IF($A17="","",IF(C17=0,0,D17/C17))</f>
        <v/>
      </c>
      <c r="F17" s="30">
        <f>IF($A17="","",E17-PARAMETER!$C$6)</f>
        <v/>
      </c>
      <c r="G17" s="31">
        <f>IF($A17="","",SUMIFS(POSTINGAN!$H$6:$H$85,POSTINGAN!$D$6:$D$85,$A17))</f>
        <v/>
      </c>
      <c r="H17" s="31">
        <f>IF($A17="","",IF(OR(G17=0,D17=0),0,G17/D17))</f>
        <v/>
      </c>
      <c r="I17" s="25">
        <f>IF($A17="","",IF(B17=0,0,C17/B17))</f>
        <v/>
      </c>
    </row>
    <row r="18">
      <c r="A18" s="22">
        <f>IF(PARAMETER!B19="","",PARAMETER!B19)</f>
        <v/>
      </c>
      <c r="B18" s="29">
        <f>IF($A18="","",COUNTIFS(POSTINGAN!$D$6:$D$85,$A18))</f>
        <v/>
      </c>
      <c r="C18" s="25">
        <f>IF($A18="","",SUMIFS(POSTINGAN!$I$6:$I$85,POSTINGAN!$D$6:$D$85,$A18))</f>
        <v/>
      </c>
      <c r="D18" s="25">
        <f>IF($A18="","",SUMIFS(POSTINGAN!$P$6:$P$85,POSTINGAN!$D$6:$D$85,$A18))</f>
        <v/>
      </c>
      <c r="E18" s="26">
        <f>IF($A18="","",IF(C18=0,0,D18/C18))</f>
        <v/>
      </c>
      <c r="F18" s="30">
        <f>IF($A18="","",E18-PARAMETER!$C$6)</f>
        <v/>
      </c>
      <c r="G18" s="31">
        <f>IF($A18="","",SUMIFS(POSTINGAN!$H$6:$H$85,POSTINGAN!$D$6:$D$85,$A18))</f>
        <v/>
      </c>
      <c r="H18" s="31">
        <f>IF($A18="","",IF(OR(G18=0,D18=0),0,G18/D18))</f>
        <v/>
      </c>
      <c r="I18" s="25">
        <f>IF($A18="","",IF(B18=0,0,C18/B18))</f>
        <v/>
      </c>
    </row>
    <row r="19">
      <c r="A19" s="22">
        <f>IF(PARAMETER!B20="","",PARAMETER!B20)</f>
        <v/>
      </c>
      <c r="B19" s="29">
        <f>IF($A19="","",COUNTIFS(POSTINGAN!$D$6:$D$85,$A19))</f>
        <v/>
      </c>
      <c r="C19" s="25">
        <f>IF($A19="","",SUMIFS(POSTINGAN!$I$6:$I$85,POSTINGAN!$D$6:$D$85,$A19))</f>
        <v/>
      </c>
      <c r="D19" s="25">
        <f>IF($A19="","",SUMIFS(POSTINGAN!$P$6:$P$85,POSTINGAN!$D$6:$D$85,$A19))</f>
        <v/>
      </c>
      <c r="E19" s="26">
        <f>IF($A19="","",IF(C19=0,0,D19/C19))</f>
        <v/>
      </c>
      <c r="F19" s="30">
        <f>IF($A19="","",E19-PARAMETER!$C$6)</f>
        <v/>
      </c>
      <c r="G19" s="31">
        <f>IF($A19="","",SUMIFS(POSTINGAN!$H$6:$H$85,POSTINGAN!$D$6:$D$85,$A19))</f>
        <v/>
      </c>
      <c r="H19" s="31">
        <f>IF($A19="","",IF(OR(G19=0,D19=0),0,G19/D19))</f>
        <v/>
      </c>
      <c r="I19" s="25">
        <f>IF($A19="","",IF(B19=0,0,C19/B19))</f>
        <v/>
      </c>
    </row>
    <row r="20">
      <c r="A20" s="22">
        <f>IF(PARAMETER!B21="","",PARAMETER!B21)</f>
        <v/>
      </c>
      <c r="B20" s="29">
        <f>IF($A20="","",COUNTIFS(POSTINGAN!$D$6:$D$85,$A20))</f>
        <v/>
      </c>
      <c r="C20" s="25">
        <f>IF($A20="","",SUMIFS(POSTINGAN!$I$6:$I$85,POSTINGAN!$D$6:$D$85,$A20))</f>
        <v/>
      </c>
      <c r="D20" s="25">
        <f>IF($A20="","",SUMIFS(POSTINGAN!$P$6:$P$85,POSTINGAN!$D$6:$D$85,$A20))</f>
        <v/>
      </c>
      <c r="E20" s="26">
        <f>IF($A20="","",IF(C20=0,0,D20/C20))</f>
        <v/>
      </c>
      <c r="F20" s="30">
        <f>IF($A20="","",E20-PARAMETER!$C$6)</f>
        <v/>
      </c>
      <c r="G20" s="31">
        <f>IF($A20="","",SUMIFS(POSTINGAN!$H$6:$H$85,POSTINGAN!$D$6:$D$85,$A20))</f>
        <v/>
      </c>
      <c r="H20" s="31">
        <f>IF($A20="","",IF(OR(G20=0,D20=0),0,G20/D20))</f>
        <v/>
      </c>
      <c r="I20" s="25">
        <f>IF($A20="","",IF(B20=0,0,C20/B20))</f>
        <v/>
      </c>
    </row>
    <row r="21">
      <c r="A21" s="22">
        <f>IF(PARAMETER!B22="","",PARAMETER!B22)</f>
        <v/>
      </c>
      <c r="B21" s="29">
        <f>IF($A21="","",COUNTIFS(POSTINGAN!$D$6:$D$85,$A21))</f>
        <v/>
      </c>
      <c r="C21" s="25">
        <f>IF($A21="","",SUMIFS(POSTINGAN!$I$6:$I$85,POSTINGAN!$D$6:$D$85,$A21))</f>
        <v/>
      </c>
      <c r="D21" s="25">
        <f>IF($A21="","",SUMIFS(POSTINGAN!$P$6:$P$85,POSTINGAN!$D$6:$D$85,$A21))</f>
        <v/>
      </c>
      <c r="E21" s="26">
        <f>IF($A21="","",IF(C21=0,0,D21/C21))</f>
        <v/>
      </c>
      <c r="F21" s="30">
        <f>IF($A21="","",E21-PARAMETER!$C$6)</f>
        <v/>
      </c>
      <c r="G21" s="31">
        <f>IF($A21="","",SUMIFS(POSTINGAN!$H$6:$H$85,POSTINGAN!$D$6:$D$85,$A21))</f>
        <v/>
      </c>
      <c r="H21" s="31">
        <f>IF($A21="","",IF(OR(G21=0,D21=0),0,G21/D21))</f>
        <v/>
      </c>
      <c r="I21" s="25">
        <f>IF($A21="","",IF(B21=0,0,C21/B21))</f>
        <v/>
      </c>
    </row>
    <row r="23">
      <c r="A23" s="6" t="inlineStr">
        <is>
          <t>PER PILAR KONTEN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4" customHeight="1">
      <c r="A24" s="19" t="inlineStr">
        <is>
          <t>Kategori</t>
        </is>
      </c>
      <c r="B24" s="19" t="inlineStr">
        <is>
          <t>Posting</t>
        </is>
      </c>
      <c r="C24" s="19" t="inlineStr">
        <is>
          <t>Jangkauan</t>
        </is>
      </c>
      <c r="D24" s="19" t="inlineStr">
        <is>
          <t>Interaksi</t>
        </is>
      </c>
      <c r="E24" s="19" t="inlineStr">
        <is>
          <t>ER Jangkauan</t>
        </is>
      </c>
      <c r="F24" s="19" t="inlineStr">
        <is>
          <t>vs Target</t>
        </is>
      </c>
      <c r="G24" s="19" t="inlineStr">
        <is>
          <t>Biaya Iklan (Rp)</t>
        </is>
      </c>
      <c r="H24" s="19" t="inlineStr">
        <is>
          <t>Biaya/Interaksi (Rp)</t>
        </is>
      </c>
      <c r="I24" s="19" t="inlineStr">
        <is>
          <t>Rata-rata Jangkauan</t>
        </is>
      </c>
    </row>
    <row r="25">
      <c r="A25" s="22">
        <f>IF(PARAMETER!B25="","",PARAMETER!B25)</f>
        <v/>
      </c>
      <c r="B25" s="29">
        <f>IF($A25="","",COUNTIFS(POSTINGAN!$E$6:$E$85,$A25))</f>
        <v/>
      </c>
      <c r="C25" s="25">
        <f>IF($A25="","",SUMIFS(POSTINGAN!$I$6:$I$85,POSTINGAN!$E$6:$E$85,$A25))</f>
        <v/>
      </c>
      <c r="D25" s="25">
        <f>IF($A25="","",SUMIFS(POSTINGAN!$P$6:$P$85,POSTINGAN!$E$6:$E$85,$A25))</f>
        <v/>
      </c>
      <c r="E25" s="26">
        <f>IF($A25="","",IF(C25=0,0,D25/C25))</f>
        <v/>
      </c>
      <c r="F25" s="30">
        <f>IF($A25="","",E25-PARAMETER!$C$6)</f>
        <v/>
      </c>
      <c r="G25" s="31">
        <f>IF($A25="","",SUMIFS(POSTINGAN!$H$6:$H$85,POSTINGAN!$E$6:$E$85,$A25))</f>
        <v/>
      </c>
      <c r="H25" s="31">
        <f>IF($A25="","",IF(OR(G25=0,D25=0),0,G25/D25))</f>
        <v/>
      </c>
      <c r="I25" s="25">
        <f>IF($A25="","",IF(B25=0,0,C25/B25))</f>
        <v/>
      </c>
    </row>
    <row r="26">
      <c r="A26" s="22">
        <f>IF(PARAMETER!B26="","",PARAMETER!B26)</f>
        <v/>
      </c>
      <c r="B26" s="29">
        <f>IF($A26="","",COUNTIFS(POSTINGAN!$E$6:$E$85,$A26))</f>
        <v/>
      </c>
      <c r="C26" s="25">
        <f>IF($A26="","",SUMIFS(POSTINGAN!$I$6:$I$85,POSTINGAN!$E$6:$E$85,$A26))</f>
        <v/>
      </c>
      <c r="D26" s="25">
        <f>IF($A26="","",SUMIFS(POSTINGAN!$P$6:$P$85,POSTINGAN!$E$6:$E$85,$A26))</f>
        <v/>
      </c>
      <c r="E26" s="26">
        <f>IF($A26="","",IF(C26=0,0,D26/C26))</f>
        <v/>
      </c>
      <c r="F26" s="30">
        <f>IF($A26="","",E26-PARAMETER!$C$6)</f>
        <v/>
      </c>
      <c r="G26" s="31">
        <f>IF($A26="","",SUMIFS(POSTINGAN!$H$6:$H$85,POSTINGAN!$E$6:$E$85,$A26))</f>
        <v/>
      </c>
      <c r="H26" s="31">
        <f>IF($A26="","",IF(OR(G26=0,D26=0),0,G26/D26))</f>
        <v/>
      </c>
      <c r="I26" s="25">
        <f>IF($A26="","",IF(B26=0,0,C26/B26))</f>
        <v/>
      </c>
    </row>
    <row r="27">
      <c r="A27" s="22">
        <f>IF(PARAMETER!B27="","",PARAMETER!B27)</f>
        <v/>
      </c>
      <c r="B27" s="29">
        <f>IF($A27="","",COUNTIFS(POSTINGAN!$E$6:$E$85,$A27))</f>
        <v/>
      </c>
      <c r="C27" s="25">
        <f>IF($A27="","",SUMIFS(POSTINGAN!$I$6:$I$85,POSTINGAN!$E$6:$E$85,$A27))</f>
        <v/>
      </c>
      <c r="D27" s="25">
        <f>IF($A27="","",SUMIFS(POSTINGAN!$P$6:$P$85,POSTINGAN!$E$6:$E$85,$A27))</f>
        <v/>
      </c>
      <c r="E27" s="26">
        <f>IF($A27="","",IF(C27=0,0,D27/C27))</f>
        <v/>
      </c>
      <c r="F27" s="30">
        <f>IF($A27="","",E27-PARAMETER!$C$6)</f>
        <v/>
      </c>
      <c r="G27" s="31">
        <f>IF($A27="","",SUMIFS(POSTINGAN!$H$6:$H$85,POSTINGAN!$E$6:$E$85,$A27))</f>
        <v/>
      </c>
      <c r="H27" s="31">
        <f>IF($A27="","",IF(OR(G27=0,D27=0),0,G27/D27))</f>
        <v/>
      </c>
      <c r="I27" s="25">
        <f>IF($A27="","",IF(B27=0,0,C27/B27))</f>
        <v/>
      </c>
    </row>
    <row r="28">
      <c r="A28" s="22">
        <f>IF(PARAMETER!B28="","",PARAMETER!B28)</f>
        <v/>
      </c>
      <c r="B28" s="29">
        <f>IF($A28="","",COUNTIFS(POSTINGAN!$E$6:$E$85,$A28))</f>
        <v/>
      </c>
      <c r="C28" s="25">
        <f>IF($A28="","",SUMIFS(POSTINGAN!$I$6:$I$85,POSTINGAN!$E$6:$E$85,$A28))</f>
        <v/>
      </c>
      <c r="D28" s="25">
        <f>IF($A28="","",SUMIFS(POSTINGAN!$P$6:$P$85,POSTINGAN!$E$6:$E$85,$A28))</f>
        <v/>
      </c>
      <c r="E28" s="26">
        <f>IF($A28="","",IF(C28=0,0,D28/C28))</f>
        <v/>
      </c>
      <c r="F28" s="30">
        <f>IF($A28="","",E28-PARAMETER!$C$6)</f>
        <v/>
      </c>
      <c r="G28" s="31">
        <f>IF($A28="","",SUMIFS(POSTINGAN!$H$6:$H$85,POSTINGAN!$E$6:$E$85,$A28))</f>
        <v/>
      </c>
      <c r="H28" s="31">
        <f>IF($A28="","",IF(OR(G28=0,D28=0),0,G28/D28))</f>
        <v/>
      </c>
      <c r="I28" s="25">
        <f>IF($A28="","",IF(B28=0,0,C28/B28))</f>
        <v/>
      </c>
    </row>
    <row r="29">
      <c r="A29" s="22">
        <f>IF(PARAMETER!B29="","",PARAMETER!B29)</f>
        <v/>
      </c>
      <c r="B29" s="29">
        <f>IF($A29="","",COUNTIFS(POSTINGAN!$E$6:$E$85,$A29))</f>
        <v/>
      </c>
      <c r="C29" s="25">
        <f>IF($A29="","",SUMIFS(POSTINGAN!$I$6:$I$85,POSTINGAN!$E$6:$E$85,$A29))</f>
        <v/>
      </c>
      <c r="D29" s="25">
        <f>IF($A29="","",SUMIFS(POSTINGAN!$P$6:$P$85,POSTINGAN!$E$6:$E$85,$A29))</f>
        <v/>
      </c>
      <c r="E29" s="26">
        <f>IF($A29="","",IF(C29=0,0,D29/C29))</f>
        <v/>
      </c>
      <c r="F29" s="30">
        <f>IF($A29="","",E29-PARAMETER!$C$6)</f>
        <v/>
      </c>
      <c r="G29" s="31">
        <f>IF($A29="","",SUMIFS(POSTINGAN!$H$6:$H$85,POSTINGAN!$E$6:$E$85,$A29))</f>
        <v/>
      </c>
      <c r="H29" s="31">
        <f>IF($A29="","",IF(OR(G29=0,D29=0),0,G29/D29))</f>
        <v/>
      </c>
      <c r="I29" s="25">
        <f>IF($A29="","",IF(B29=0,0,C29/B29))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I3"/>
  </mergeCells>
  <conditionalFormatting sqref="F7:F1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F16:F2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F25:F29">
    <cfRule type="cellIs" priority="5" operator="lessThan" dxfId="0">
      <formula>0</formula>
    </cfRule>
    <cfRule type="cellIs" priority="6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Social Media Performance Tracker (Demo)</dc:title>
  <dc:subject xmlns:dc="http://purl.org/dc/elements/1.1/">Lisensi: demo</dc:subject>
  <dcterms:created xmlns:dcterms="http://purl.org/dc/terms/" xmlns:xsi="http://www.w3.org/2001/XMLSchema-instance" xsi:type="dcterms:W3CDTF">2026-10-29T16:50:46Z</dcterms:created>
  <dcterms:modified xmlns:dcterms="http://purl.org/dc/terms/" xmlns:xsi="http://www.w3.org/2001/XMLSchema-instance" xsi:type="dcterms:W3CDTF">2026-10-29T16:50:46Z</dcterms:modified>
</cp:coreProperties>
</file>