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INPUT_BASE" sheetId="3" state="visible" r:id="rId3"/>
    <sheet xmlns:r="http://schemas.openxmlformats.org/officeDocument/2006/relationships" name="ARUS_K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yyyy-mm-dd"/>
    <numFmt numFmtId="166" formatCode="dd-mmm-yyyy"/>
    <numFmt numFmtId="167" formatCode="dd-mmm"/>
  </numFmts>
  <fonts count="14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  <font>
      <name val="Arial"/>
      <i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0B1A30"/>
      </patternFill>
    </fill>
    <fill>
      <patternFill patternType="solid">
        <fgColor rgb="00F2F5FA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164" fontId="9" fillId="3" borderId="1" applyProtection="1" pivotButton="0" quotePrefix="0" xfId="0">
      <protection locked="0" hidden="0"/>
    </xf>
    <xf numFmtId="166" fontId="9" fillId="3" borderId="1" applyProtection="1" pivotButton="0" quotePrefix="0" xfId="0">
      <protection locked="0" hidden="0"/>
    </xf>
    <xf numFmtId="0" fontId="8" fillId="0" borderId="1" pivotButton="0" quotePrefix="0" xfId="0"/>
    <xf numFmtId="2" fontId="8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13" fillId="0" borderId="1" pivotButton="0" quotePrefix="0" xfId="0"/>
    <xf numFmtId="167" fontId="13" fillId="0" borderId="1" applyAlignment="1" pivotButton="0" quotePrefix="0" xfId="0">
      <alignment horizontal="center" vertical="center"/>
    </xf>
    <xf numFmtId="164" fontId="9" fillId="0" borderId="1" applyProtection="1" pivotButton="0" quotePrefix="0" xfId="0">
      <protection locked="0" hidden="0"/>
    </xf>
    <xf numFmtId="164" fontId="7" fillId="0" borderId="1" pivotButton="0" quotePrefix="0" xfId="0"/>
    <xf numFmtId="0" fontId="7" fillId="6" borderId="1" pivotButton="0" quotePrefix="0" xfId="0"/>
    <xf numFmtId="164" fontId="7" fillId="6" borderId="1" pivotButton="0" quotePrefix="0" xfId="0"/>
    <xf numFmtId="164" fontId="8" fillId="0" borderId="1" pivotButton="0" quotePrefix="0" xfId="0"/>
    <xf numFmtId="0" fontId="7" fillId="7" borderId="1" pivotButton="0" quotePrefix="0" xfId="0"/>
    <xf numFmtId="164" fontId="7" fillId="7" borderId="1" pivotButton="0" quotePrefix="0" xfId="0"/>
    <xf numFmtId="164" fontId="13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name val="Arial"/>
        <b val="1"/>
        <color rgb="00C0392B"/>
        <sz val="10"/>
      </font>
      <fill>
        <patternFill patternType="solid">
          <fgColor rgb="00F5B7B1"/>
        </patternFill>
      </fill>
    </dxf>
    <dxf>
      <font>
        <name val="Arial"/>
        <b val="1"/>
        <color rgb="00B9770E"/>
        <sz val="10"/>
      </font>
      <fill>
        <patternFill patternType="solid">
          <fgColor rgb="00FCF3CF"/>
        </patternFill>
      </fill>
    </dxf>
    <dxf>
      <font>
        <name val="Arial"/>
        <b val="1"/>
        <color rgb="001E8449"/>
        <sz val="10"/>
      </font>
      <fill>
        <patternFill patternType="solid">
          <fgColor rgb="00D5F5E3"/>
        </patternFill>
      </fill>
    </dxf>
    <dxf>
      <font>
        <name val="Arial"/>
        <b val="1"/>
        <color rgb="00C0392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Akhir vs Saldo Minimum (Rp juta)</a:t>
            </a:r>
          </a:p>
        </rich>
      </tx>
    </title>
    <plotArea>
      <lineChart>
        <grouping val="standard"/>
        <ser>
          <idx val="0"/>
          <order val="0"/>
          <tx>
            <strRef>
              <f>'ARUS_KAS'!A22</f>
            </strRef>
          </tx>
          <spPr>
            <a:ln xmlns:a="http://schemas.openxmlformats.org/drawingml/2006/main" w="28000">
              <a:solidFill>
                <a:srgbClr val="0EA5A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'ARUS_KAS'!$B$5:$I$5</f>
            </numRef>
          </cat>
          <val>
            <numRef>
              <f>'ARUS_KAS'!$B$22:$I$22</f>
            </numRef>
          </val>
          <smooth val="0"/>
        </ser>
        <ser>
          <idx val="1"/>
          <order val="1"/>
          <tx>
            <strRef>
              <f>'ARUS_KAS'!A23</f>
            </strRef>
          </tx>
          <spPr>
            <a:ln xmlns:a="http://schemas.openxmlformats.org/drawingml/2006/main" w="28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'ARUS_KAS'!$B$5:$I$5</f>
            </numRef>
          </cat>
          <val>
            <numRef>
              <f>'ARUS_KAS'!$B$23:$I$23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Proyeksi Arus Kas (Demo 8 Minggu)</t>
        </is>
      </c>
    </row>
    <row r="3" ht="44" customHeight="1">
      <c r="B3" s="3" t="inlineStr">
        <is>
          <t>Rencanakan kas mingguan, deteksi minggu rawan kekurangan kas, dan uji skenario sebelum keputusan pengeluaran besar.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Isi saldo kas awal, tanggal minggu-1, dan saldo minimum di PARAMETER.</t>
        </is>
      </c>
    </row>
    <row r="9" ht="16" customHeight="1">
      <c r="B9" s="8" t="inlineStr">
        <is>
          <t>Langkah 2</t>
        </is>
      </c>
      <c r="C9" s="9" t="inlineStr">
        <is>
          <t>Masukkan asumsi penerimaan dan pengeluaran tiap minggu di INPUT_BASE (sel biru).</t>
        </is>
      </c>
    </row>
    <row r="10" ht="16" customHeight="1">
      <c r="B10" s="8" t="inlineStr">
        <is>
          <t>Langkah 3</t>
        </is>
      </c>
      <c r="C10" s="9" t="inlineStr">
        <is>
          <t>Baca ARUS_KAS: saldo akhir dan status AMAN / WASPADA / DEFISIT tiap minggu.</t>
        </is>
      </c>
    </row>
    <row r="12">
      <c r="B12" s="6" t="inlineStr">
        <is>
          <t>Isi berkas</t>
        </is>
      </c>
      <c r="C12" s="7" t="n"/>
    </row>
    <row r="13" ht="16" customHeight="1">
      <c r="B13" s="8" t="inlineStr">
        <is>
          <t>PARAMETER</t>
        </is>
      </c>
      <c r="C13" s="9" t="inlineStr">
        <is>
          <t>Saldo kas awal, tanggal mulai, saldo minimum kebijakan.</t>
        </is>
      </c>
    </row>
    <row r="14" ht="16" customHeight="1">
      <c r="B14" s="8" t="inlineStr">
        <is>
          <t>INPUT_BASE</t>
        </is>
      </c>
      <c r="C14" s="9" t="inlineStr">
        <is>
          <t>Asumsi penerimaan dan pengeluaran per minggu (8 minggu) untuk skenario dasar.</t>
        </is>
      </c>
    </row>
    <row r="15" ht="16" customHeight="1">
      <c r="B15" s="8" t="inlineStr">
        <is>
          <t>ARUS_KAS</t>
        </is>
      </c>
      <c r="C15" s="9" t="inlineStr">
        <is>
          <t>Proyeksi arus kas mingguan, saldo awal-akhir, status saldo, dan grafik.</t>
        </is>
      </c>
    </row>
    <row r="17">
      <c r="B17" s="6" t="inlineStr">
        <is>
          <t>Legenda warna</t>
        </is>
      </c>
      <c r="C17" s="7" t="n"/>
    </row>
    <row r="18">
      <c r="B18" s="10" t="inlineStr">
        <is>
          <t>Teks biru</t>
        </is>
      </c>
      <c r="C18" s="11" t="inlineStr">
        <is>
          <t>Sel input: boleh Anda ubah (tidak terkunci).</t>
        </is>
      </c>
    </row>
    <row r="19">
      <c r="B19" s="12" t="inlineStr">
        <is>
          <t>Sel kuning</t>
        </is>
      </c>
      <c r="C19" s="11" t="inlineStr">
        <is>
          <t>Parameter kunci: periksa terlebih dulu.</t>
        </is>
      </c>
    </row>
    <row r="20">
      <c r="B20" s="11" t="inlineStr">
        <is>
          <t>Teks hitam</t>
        </is>
      </c>
      <c r="C20" s="11" t="inlineStr">
        <is>
          <t>Rumus otomatis (terkunci; Review &gt; Unprotect Sheet tanpa kata sandi bila perlu).</t>
        </is>
      </c>
    </row>
    <row r="22">
      <c r="B22" s="6" t="inlineStr">
        <is>
          <t>Catatan</t>
        </is>
      </c>
      <c r="C22" s="7" t="n"/>
    </row>
    <row r="23" ht="16" customHeight="1">
      <c r="C23" s="9" t="inlineStr">
        <is>
          <t>• Seluruh data adalah simulasi buatan, bukan data perusahaan nyata.</t>
        </is>
      </c>
    </row>
    <row r="24" ht="30" customHeight="1">
      <c r="C24" s="9" t="inlineStr">
        <is>
          <t>• Hasil perhitungan adalah alat bantu; verifikasi dengan akuntan/konsultan sebelum dipakai untuk keputusan atau pelaporan resmi.</t>
        </is>
      </c>
    </row>
    <row r="25" ht="16" customHeight="1">
      <c r="C25" s="9" t="inlineStr">
        <is>
          <t>• Status WASPADA = saldo akhir di bawah saldo minimum kebijakan; DEFISIT = saldo negatif.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0" customWidth="1" min="4" max="4"/>
    <col width="40" customWidth="1" min="5" max="5"/>
  </cols>
  <sheetData>
    <row r="1" ht="24" customHeight="1">
      <c r="A1" s="13" t="inlineStr">
        <is>
          <t>Parameter</t>
        </is>
      </c>
    </row>
    <row r="2">
      <c r="A2" s="14" t="inlineStr">
        <is>
          <t>Isi sel kuning.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Saldo kas awal (Rp)</t>
        </is>
      </c>
      <c r="C5" s="17" t="n">
        <v>250000000</v>
      </c>
    </row>
    <row r="6">
      <c r="B6" s="16" t="inlineStr">
        <is>
          <t>Tanggal mulai minggu 1 (Senin)</t>
        </is>
      </c>
      <c r="C6" s="18" t="n">
        <v>46328</v>
      </c>
    </row>
    <row r="7">
      <c r="B7" s="16" t="inlineStr">
        <is>
          <t>Saldo minimum kebijakan (Rp)</t>
        </is>
      </c>
      <c r="C7" s="17" t="n">
        <v>100000000</v>
      </c>
    </row>
    <row r="8">
      <c r="B8" s="16" t="inlineStr">
        <is>
          <t>Skenario</t>
        </is>
      </c>
      <c r="C8" s="19" t="inlineStr">
        <is>
          <t>Base (demo)</t>
        </is>
      </c>
    </row>
    <row r="9">
      <c r="B9" s="19" t="inlineStr">
        <is>
          <t>Pengali penerimaan</t>
        </is>
      </c>
      <c r="C9" s="20" t="n">
        <v>1</v>
      </c>
    </row>
    <row r="10">
      <c r="B10" s="19" t="inlineStr">
        <is>
          <t>Pengali pengeluaran</t>
        </is>
      </c>
      <c r="C10" s="20" t="n">
        <v>1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</cols>
  <sheetData>
    <row r="1" ht="24" customHeight="1">
      <c r="A1" s="13" t="inlineStr">
        <is>
          <t>Asumsi Dasar (Skenario Base)</t>
        </is>
      </c>
    </row>
    <row r="2">
      <c r="A2" s="14" t="inlineStr">
        <is>
          <t>Nilai dalam Rupiah per minggu</t>
        </is>
      </c>
    </row>
    <row r="3">
      <c r="A3" s="15" t="inlineStr">
        <is>
          <t>VERSI DEMO: kapasitas &amp; fitur dibatasi, data simulasi. Versi lengkap: WhatsApp 089623291732</t>
        </is>
      </c>
    </row>
    <row r="5" ht="22" customHeight="1">
      <c r="A5" s="21" t="inlineStr">
        <is>
          <t>Uraian</t>
        </is>
      </c>
      <c r="B5" s="21" t="inlineStr">
        <is>
          <t>M1</t>
        </is>
      </c>
      <c r="C5" s="21" t="inlineStr">
        <is>
          <t>M2</t>
        </is>
      </c>
      <c r="D5" s="21" t="inlineStr">
        <is>
          <t>M3</t>
        </is>
      </c>
      <c r="E5" s="21" t="inlineStr">
        <is>
          <t>M4</t>
        </is>
      </c>
      <c r="F5" s="21" t="inlineStr">
        <is>
          <t>M5</t>
        </is>
      </c>
      <c r="G5" s="21" t="inlineStr">
        <is>
          <t>M6</t>
        </is>
      </c>
      <c r="H5" s="21" t="inlineStr">
        <is>
          <t>M7</t>
        </is>
      </c>
      <c r="I5" s="21" t="inlineStr">
        <is>
          <t>M8</t>
        </is>
      </c>
      <c r="J5" s="21" t="inlineStr">
        <is>
          <t>Total</t>
        </is>
      </c>
    </row>
    <row r="6">
      <c r="A6" s="22" t="inlineStr">
        <is>
          <t>Mulai minggu</t>
        </is>
      </c>
      <c r="B6" s="23">
        <f>PARAMETER!$C$6+0</f>
        <v/>
      </c>
      <c r="C6" s="23">
        <f>PARAMETER!$C$6+7</f>
        <v/>
      </c>
      <c r="D6" s="23">
        <f>PARAMETER!$C$6+14</f>
        <v/>
      </c>
      <c r="E6" s="23">
        <f>PARAMETER!$C$6+21</f>
        <v/>
      </c>
      <c r="F6" s="23">
        <f>PARAMETER!$C$6+28</f>
        <v/>
      </c>
      <c r="G6" s="23">
        <f>PARAMETER!$C$6+35</f>
        <v/>
      </c>
      <c r="H6" s="23">
        <f>PARAMETER!$C$6+42</f>
        <v/>
      </c>
      <c r="I6" s="23">
        <f>PARAMETER!$C$6+49</f>
        <v/>
      </c>
      <c r="J6" s="19" t="n"/>
    </row>
    <row r="7">
      <c r="A7" s="6" t="inlineStr">
        <is>
          <t>PENERIMAAN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19" t="inlineStr">
        <is>
          <t>Penjualan tunai</t>
        </is>
      </c>
      <c r="B8" s="24" t="n">
        <v>77000000</v>
      </c>
      <c r="C8" s="24" t="n">
        <v>67100000</v>
      </c>
      <c r="D8" s="24" t="n">
        <v>58600000</v>
      </c>
      <c r="E8" s="24" t="n">
        <v>66600000</v>
      </c>
      <c r="F8" s="24" t="n">
        <v>65100000</v>
      </c>
      <c r="G8" s="24" t="n">
        <v>62100000</v>
      </c>
      <c r="H8" s="24" t="n">
        <v>68900000</v>
      </c>
      <c r="I8" s="24" t="n">
        <v>75900000</v>
      </c>
      <c r="J8" s="25">
        <f>SUM(B8:I8)</f>
        <v/>
      </c>
    </row>
    <row r="9">
      <c r="A9" s="19" t="inlineStr">
        <is>
          <t>Penagihan piutang</t>
        </is>
      </c>
      <c r="B9" s="24" t="n">
        <v>51100000</v>
      </c>
      <c r="C9" s="24" t="n">
        <v>97200000</v>
      </c>
      <c r="D9" s="24" t="n">
        <v>61400000</v>
      </c>
      <c r="E9" s="24" t="n">
        <v>83600000</v>
      </c>
      <c r="F9" s="24" t="n">
        <v>50500000</v>
      </c>
      <c r="G9" s="24" t="n">
        <v>84300000</v>
      </c>
      <c r="H9" s="24" t="n">
        <v>54700000</v>
      </c>
      <c r="I9" s="24" t="n">
        <v>85100000</v>
      </c>
      <c r="J9" s="25">
        <f>SUM(B9:I9)</f>
        <v/>
      </c>
    </row>
    <row r="10">
      <c r="A10" s="19" t="inlineStr">
        <is>
          <t>Pendapatan lain</t>
        </is>
      </c>
      <c r="B10" s="24" t="n">
        <v>1400000</v>
      </c>
      <c r="C10" s="24" t="n"/>
      <c r="D10" s="24" t="n"/>
      <c r="E10" s="24" t="n">
        <v>4100000</v>
      </c>
      <c r="F10" s="24" t="n"/>
      <c r="G10" s="24" t="n"/>
      <c r="H10" s="24" t="n">
        <v>4000000</v>
      </c>
      <c r="I10" s="24" t="n"/>
      <c r="J10" s="25">
        <f>SUM(B10:I10)</f>
        <v/>
      </c>
    </row>
    <row r="11">
      <c r="A11" s="26" t="inlineStr">
        <is>
          <t>TOTAL PENERIMAAN</t>
        </is>
      </c>
      <c r="B11" s="27">
        <f>SUM(B8:B10)</f>
        <v/>
      </c>
      <c r="C11" s="27">
        <f>SUM(C8:C10)</f>
        <v/>
      </c>
      <c r="D11" s="27">
        <f>SUM(D8:D10)</f>
        <v/>
      </c>
      <c r="E11" s="27">
        <f>SUM(E8:E10)</f>
        <v/>
      </c>
      <c r="F11" s="27">
        <f>SUM(F8:F10)</f>
        <v/>
      </c>
      <c r="G11" s="27">
        <f>SUM(G8:G10)</f>
        <v/>
      </c>
      <c r="H11" s="27">
        <f>SUM(H8:H10)</f>
        <v/>
      </c>
      <c r="I11" s="27">
        <f>SUM(I8:I10)</f>
        <v/>
      </c>
      <c r="J11" s="27">
        <f>SUM(J8:J10)</f>
        <v/>
      </c>
    </row>
    <row r="12">
      <c r="A12" s="6" t="inlineStr">
        <is>
          <t>PENGELUARAN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19" t="inlineStr">
        <is>
          <t>Pembelian &amp; pemasok</t>
        </is>
      </c>
      <c r="B13" s="24" t="n">
        <v>66200000</v>
      </c>
      <c r="C13" s="24" t="n">
        <v>70000000</v>
      </c>
      <c r="D13" s="24" t="n">
        <v>78400000</v>
      </c>
      <c r="E13" s="24" t="n">
        <v>68100000</v>
      </c>
      <c r="F13" s="24" t="n">
        <v>67700000</v>
      </c>
      <c r="G13" s="24" t="n">
        <v>65000000</v>
      </c>
      <c r="H13" s="24" t="n">
        <v>68100000</v>
      </c>
      <c r="I13" s="24" t="n">
        <v>68400000</v>
      </c>
      <c r="J13" s="25">
        <f>SUM(B13:I13)</f>
        <v/>
      </c>
    </row>
    <row r="14">
      <c r="A14" s="19" t="inlineStr">
        <is>
          <t>Gaji &amp; tunjangan</t>
        </is>
      </c>
      <c r="B14" s="24" t="n"/>
      <c r="C14" s="24" t="n"/>
      <c r="D14" s="24" t="n"/>
      <c r="E14" s="24" t="n">
        <v>78000000</v>
      </c>
      <c r="F14" s="24" t="n"/>
      <c r="G14" s="24" t="n"/>
      <c r="H14" s="24" t="n"/>
      <c r="I14" s="24" t="n">
        <v>78000000</v>
      </c>
      <c r="J14" s="25">
        <f>SUM(B14:I14)</f>
        <v/>
      </c>
    </row>
    <row r="15">
      <c r="A15" s="19" t="inlineStr">
        <is>
          <t>Sewa &amp; utilitas</t>
        </is>
      </c>
      <c r="B15" s="24" t="n">
        <v>26000000</v>
      </c>
      <c r="C15" s="24" t="n">
        <v>2800000</v>
      </c>
      <c r="D15" s="24" t="n">
        <v>2600000</v>
      </c>
      <c r="E15" s="24" t="n">
        <v>2600000</v>
      </c>
      <c r="F15" s="24" t="n">
        <v>26000000</v>
      </c>
      <c r="G15" s="24" t="n">
        <v>2300000</v>
      </c>
      <c r="H15" s="24" t="n">
        <v>3200000</v>
      </c>
      <c r="I15" s="24" t="n">
        <v>3000000</v>
      </c>
      <c r="J15" s="25">
        <f>SUM(B15:I15)</f>
        <v/>
      </c>
    </row>
    <row r="16">
      <c r="A16" s="19" t="inlineStr">
        <is>
          <t>Pajak</t>
        </is>
      </c>
      <c r="B16" s="24" t="n"/>
      <c r="C16" s="24" t="n"/>
      <c r="D16" s="24" t="n"/>
      <c r="E16" s="24" t="n"/>
      <c r="F16" s="24" t="n">
        <v>14000000</v>
      </c>
      <c r="G16" s="24" t="n"/>
      <c r="H16" s="24" t="n"/>
      <c r="I16" s="24" t="n"/>
      <c r="J16" s="25">
        <f>SUM(B16:I16)</f>
        <v/>
      </c>
    </row>
    <row r="17">
      <c r="A17" s="19" t="inlineStr">
        <is>
          <t>Cicilan pinjaman</t>
        </is>
      </c>
      <c r="B17" s="24" t="n">
        <v>32000000</v>
      </c>
      <c r="C17" s="24" t="n"/>
      <c r="D17" s="24" t="n"/>
      <c r="E17" s="24" t="n"/>
      <c r="F17" s="24" t="n">
        <v>32000000</v>
      </c>
      <c r="G17" s="24" t="n"/>
      <c r="H17" s="24" t="n"/>
      <c r="I17" s="24" t="n"/>
      <c r="J17" s="25">
        <f>SUM(B17:I17)</f>
        <v/>
      </c>
    </row>
    <row r="18">
      <c r="A18" s="19" t="inlineStr">
        <is>
          <t>Operasional lain</t>
        </is>
      </c>
      <c r="B18" s="24" t="n">
        <v>10200000</v>
      </c>
      <c r="C18" s="24" t="n">
        <v>12000000</v>
      </c>
      <c r="D18" s="24" t="n">
        <v>11600000</v>
      </c>
      <c r="E18" s="24" t="n">
        <v>10400000</v>
      </c>
      <c r="F18" s="24" t="n">
        <v>8800000</v>
      </c>
      <c r="G18" s="24" t="n">
        <v>11100000</v>
      </c>
      <c r="H18" s="24" t="n">
        <v>12600000</v>
      </c>
      <c r="I18" s="24" t="n">
        <v>10400000</v>
      </c>
      <c r="J18" s="25">
        <f>SUM(B18:I18)</f>
        <v/>
      </c>
    </row>
    <row r="19">
      <c r="A19" s="26" t="inlineStr">
        <is>
          <t>TOTAL PENGELUARAN</t>
        </is>
      </c>
      <c r="B19" s="27">
        <f>SUM(B13:B18)</f>
        <v/>
      </c>
      <c r="C19" s="27">
        <f>SUM(C13:C18)</f>
        <v/>
      </c>
      <c r="D19" s="27">
        <f>SUM(D13:D18)</f>
        <v/>
      </c>
      <c r="E19" s="27">
        <f>SUM(E13:E18)</f>
        <v/>
      </c>
      <c r="F19" s="27">
        <f>SUM(F13:F18)</f>
        <v/>
      </c>
      <c r="G19" s="27">
        <f>SUM(G13:G18)</f>
        <v/>
      </c>
      <c r="H19" s="27">
        <f>SUM(H13:H18)</f>
        <v/>
      </c>
      <c r="I19" s="27">
        <f>SUM(I13:I18)</f>
        <v/>
      </c>
      <c r="J19" s="27">
        <f>SUM(J13:J18)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7" customWidth="1" min="10" max="10"/>
  </cols>
  <sheetData>
    <row r="1" ht="24" customHeight="1">
      <c r="A1" s="13" t="inlineStr">
        <is>
          <t>Proyeksi Arus Kas Mingguan</t>
        </is>
      </c>
    </row>
    <row r="2">
      <c r="A2" s="14">
        <f>"Skenario: "&amp;PARAMETER!C8&amp;"  |  Saldo minimum kebijakan: Rp "&amp;TEXT(PARAMETER!C7,"#,##0")</f>
        <v/>
      </c>
    </row>
    <row r="3">
      <c r="A3" s="15" t="inlineStr">
        <is>
          <t>VERSI DEMO: kapasitas &amp; fitur dibatasi, data simulasi. Versi lengkap: WhatsApp 089623291732</t>
        </is>
      </c>
    </row>
    <row r="5" ht="22" customHeight="1">
      <c r="A5" s="21" t="inlineStr">
        <is>
          <t>Uraian</t>
        </is>
      </c>
      <c r="B5" s="21" t="inlineStr">
        <is>
          <t>M1</t>
        </is>
      </c>
      <c r="C5" s="21" t="inlineStr">
        <is>
          <t>M2</t>
        </is>
      </c>
      <c r="D5" s="21" t="inlineStr">
        <is>
          <t>M3</t>
        </is>
      </c>
      <c r="E5" s="21" t="inlineStr">
        <is>
          <t>M4</t>
        </is>
      </c>
      <c r="F5" s="21" t="inlineStr">
        <is>
          <t>M5</t>
        </is>
      </c>
      <c r="G5" s="21" t="inlineStr">
        <is>
          <t>M6</t>
        </is>
      </c>
      <c r="H5" s="21" t="inlineStr">
        <is>
          <t>M7</t>
        </is>
      </c>
      <c r="I5" s="21" t="inlineStr">
        <is>
          <t>M8</t>
        </is>
      </c>
      <c r="J5" s="21" t="inlineStr">
        <is>
          <t>Total</t>
        </is>
      </c>
    </row>
    <row r="6">
      <c r="A6" s="22" t="inlineStr">
        <is>
          <t>Mulai minggu</t>
        </is>
      </c>
      <c r="B6" s="23">
        <f>INPUT_BASE!B6</f>
        <v/>
      </c>
      <c r="C6" s="23">
        <f>INPUT_BASE!C6</f>
        <v/>
      </c>
      <c r="D6" s="23">
        <f>INPUT_BASE!D6</f>
        <v/>
      </c>
      <c r="E6" s="23">
        <f>INPUT_BASE!E6</f>
        <v/>
      </c>
      <c r="F6" s="23">
        <f>INPUT_BASE!F6</f>
        <v/>
      </c>
      <c r="G6" s="23">
        <f>INPUT_BASE!G6</f>
        <v/>
      </c>
      <c r="H6" s="23">
        <f>INPUT_BASE!H6</f>
        <v/>
      </c>
      <c r="I6" s="23">
        <f>INPUT_BASE!I6</f>
        <v/>
      </c>
      <c r="J6" s="19" t="n"/>
    </row>
    <row r="7">
      <c r="A7" s="6" t="inlineStr">
        <is>
          <t>PENERIMAAN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19" t="inlineStr">
        <is>
          <t>Penjualan tunai</t>
        </is>
      </c>
      <c r="B8" s="28">
        <f>INPUT_BASE!B8*PARAMETER!$C$9</f>
        <v/>
      </c>
      <c r="C8" s="28">
        <f>INPUT_BASE!C8*PARAMETER!$C$9</f>
        <v/>
      </c>
      <c r="D8" s="28">
        <f>INPUT_BASE!D8*PARAMETER!$C$9</f>
        <v/>
      </c>
      <c r="E8" s="28">
        <f>INPUT_BASE!E8*PARAMETER!$C$9</f>
        <v/>
      </c>
      <c r="F8" s="28">
        <f>INPUT_BASE!F8*PARAMETER!$C$9</f>
        <v/>
      </c>
      <c r="G8" s="28">
        <f>INPUT_BASE!G8*PARAMETER!$C$9</f>
        <v/>
      </c>
      <c r="H8" s="28">
        <f>INPUT_BASE!H8*PARAMETER!$C$9</f>
        <v/>
      </c>
      <c r="I8" s="28">
        <f>INPUT_BASE!I8*PARAMETER!$C$9</f>
        <v/>
      </c>
      <c r="J8" s="25">
        <f>SUM(B8:I8)</f>
        <v/>
      </c>
    </row>
    <row r="9">
      <c r="A9" s="19" t="inlineStr">
        <is>
          <t>Penagihan piutang</t>
        </is>
      </c>
      <c r="B9" s="28">
        <f>INPUT_BASE!B9*PARAMETER!$C$9</f>
        <v/>
      </c>
      <c r="C9" s="28">
        <f>INPUT_BASE!C9*PARAMETER!$C$9</f>
        <v/>
      </c>
      <c r="D9" s="28">
        <f>INPUT_BASE!D9*PARAMETER!$C$9</f>
        <v/>
      </c>
      <c r="E9" s="28">
        <f>INPUT_BASE!E9*PARAMETER!$C$9</f>
        <v/>
      </c>
      <c r="F9" s="28">
        <f>INPUT_BASE!F9*PARAMETER!$C$9</f>
        <v/>
      </c>
      <c r="G9" s="28">
        <f>INPUT_BASE!G9*PARAMETER!$C$9</f>
        <v/>
      </c>
      <c r="H9" s="28">
        <f>INPUT_BASE!H9*PARAMETER!$C$9</f>
        <v/>
      </c>
      <c r="I9" s="28">
        <f>INPUT_BASE!I9*PARAMETER!$C$9</f>
        <v/>
      </c>
      <c r="J9" s="25">
        <f>SUM(B9:I9)</f>
        <v/>
      </c>
    </row>
    <row r="10">
      <c r="A10" s="19" t="inlineStr">
        <is>
          <t>Pendapatan lain</t>
        </is>
      </c>
      <c r="B10" s="28">
        <f>INPUT_BASE!B10*PARAMETER!$C$9</f>
        <v/>
      </c>
      <c r="C10" s="28">
        <f>INPUT_BASE!C10*PARAMETER!$C$9</f>
        <v/>
      </c>
      <c r="D10" s="28">
        <f>INPUT_BASE!D10*PARAMETER!$C$9</f>
        <v/>
      </c>
      <c r="E10" s="28">
        <f>INPUT_BASE!E10*PARAMETER!$C$9</f>
        <v/>
      </c>
      <c r="F10" s="28">
        <f>INPUT_BASE!F10*PARAMETER!$C$9</f>
        <v/>
      </c>
      <c r="G10" s="28">
        <f>INPUT_BASE!G10*PARAMETER!$C$9</f>
        <v/>
      </c>
      <c r="H10" s="28">
        <f>INPUT_BASE!H10*PARAMETER!$C$9</f>
        <v/>
      </c>
      <c r="I10" s="28">
        <f>INPUT_BASE!I10*PARAMETER!$C$9</f>
        <v/>
      </c>
      <c r="J10" s="25">
        <f>SUM(B10:I10)</f>
        <v/>
      </c>
    </row>
    <row r="11">
      <c r="A11" s="26" t="inlineStr">
        <is>
          <t>TOTAL PENERIMAAN</t>
        </is>
      </c>
      <c r="B11" s="27">
        <f>SUM(B8:B10)</f>
        <v/>
      </c>
      <c r="C11" s="27">
        <f>SUM(C8:C10)</f>
        <v/>
      </c>
      <c r="D11" s="27">
        <f>SUM(D8:D10)</f>
        <v/>
      </c>
      <c r="E11" s="27">
        <f>SUM(E8:E10)</f>
        <v/>
      </c>
      <c r="F11" s="27">
        <f>SUM(F8:F10)</f>
        <v/>
      </c>
      <c r="G11" s="27">
        <f>SUM(G8:G10)</f>
        <v/>
      </c>
      <c r="H11" s="27">
        <f>SUM(H8:H10)</f>
        <v/>
      </c>
      <c r="I11" s="27">
        <f>SUM(I8:I10)</f>
        <v/>
      </c>
      <c r="J11" s="25">
        <f>SUM(B11:I11)</f>
        <v/>
      </c>
    </row>
    <row r="12">
      <c r="A12" s="6" t="inlineStr">
        <is>
          <t>PENGELUARAN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19" t="inlineStr">
        <is>
          <t>Pembelian &amp; pemasok</t>
        </is>
      </c>
      <c r="B13" s="28">
        <f>INPUT_BASE!B13*PARAMETER!$C$10</f>
        <v/>
      </c>
      <c r="C13" s="28">
        <f>INPUT_BASE!C13*PARAMETER!$C$10</f>
        <v/>
      </c>
      <c r="D13" s="28">
        <f>INPUT_BASE!D13*PARAMETER!$C$10</f>
        <v/>
      </c>
      <c r="E13" s="28">
        <f>INPUT_BASE!E13*PARAMETER!$C$10</f>
        <v/>
      </c>
      <c r="F13" s="28">
        <f>INPUT_BASE!F13*PARAMETER!$C$10</f>
        <v/>
      </c>
      <c r="G13" s="28">
        <f>INPUT_BASE!G13*PARAMETER!$C$10</f>
        <v/>
      </c>
      <c r="H13" s="28">
        <f>INPUT_BASE!H13*PARAMETER!$C$10</f>
        <v/>
      </c>
      <c r="I13" s="28">
        <f>INPUT_BASE!I13*PARAMETER!$C$10</f>
        <v/>
      </c>
      <c r="J13" s="25">
        <f>SUM(B13:I13)</f>
        <v/>
      </c>
    </row>
    <row r="14">
      <c r="A14" s="19" t="inlineStr">
        <is>
          <t>Gaji &amp; tunjangan</t>
        </is>
      </c>
      <c r="B14" s="28">
        <f>INPUT_BASE!B14*PARAMETER!$C$10</f>
        <v/>
      </c>
      <c r="C14" s="28">
        <f>INPUT_BASE!C14*PARAMETER!$C$10</f>
        <v/>
      </c>
      <c r="D14" s="28">
        <f>INPUT_BASE!D14*PARAMETER!$C$10</f>
        <v/>
      </c>
      <c r="E14" s="28">
        <f>INPUT_BASE!E14*PARAMETER!$C$10</f>
        <v/>
      </c>
      <c r="F14" s="28">
        <f>INPUT_BASE!F14*PARAMETER!$C$10</f>
        <v/>
      </c>
      <c r="G14" s="28">
        <f>INPUT_BASE!G14*PARAMETER!$C$10</f>
        <v/>
      </c>
      <c r="H14" s="28">
        <f>INPUT_BASE!H14*PARAMETER!$C$10</f>
        <v/>
      </c>
      <c r="I14" s="28">
        <f>INPUT_BASE!I14*PARAMETER!$C$10</f>
        <v/>
      </c>
      <c r="J14" s="25">
        <f>SUM(B14:I14)</f>
        <v/>
      </c>
    </row>
    <row r="15">
      <c r="A15" s="19" t="inlineStr">
        <is>
          <t>Sewa &amp; utilitas</t>
        </is>
      </c>
      <c r="B15" s="28">
        <f>INPUT_BASE!B15*PARAMETER!$C$10</f>
        <v/>
      </c>
      <c r="C15" s="28">
        <f>INPUT_BASE!C15*PARAMETER!$C$10</f>
        <v/>
      </c>
      <c r="D15" s="28">
        <f>INPUT_BASE!D15*PARAMETER!$C$10</f>
        <v/>
      </c>
      <c r="E15" s="28">
        <f>INPUT_BASE!E15*PARAMETER!$C$10</f>
        <v/>
      </c>
      <c r="F15" s="28">
        <f>INPUT_BASE!F15*PARAMETER!$C$10</f>
        <v/>
      </c>
      <c r="G15" s="28">
        <f>INPUT_BASE!G15*PARAMETER!$C$10</f>
        <v/>
      </c>
      <c r="H15" s="28">
        <f>INPUT_BASE!H15*PARAMETER!$C$10</f>
        <v/>
      </c>
      <c r="I15" s="28">
        <f>INPUT_BASE!I15*PARAMETER!$C$10</f>
        <v/>
      </c>
      <c r="J15" s="25">
        <f>SUM(B15:I15)</f>
        <v/>
      </c>
    </row>
    <row r="16">
      <c r="A16" s="19" t="inlineStr">
        <is>
          <t>Pajak</t>
        </is>
      </c>
      <c r="B16" s="28">
        <f>INPUT_BASE!B16*PARAMETER!$C$10</f>
        <v/>
      </c>
      <c r="C16" s="28">
        <f>INPUT_BASE!C16*PARAMETER!$C$10</f>
        <v/>
      </c>
      <c r="D16" s="28">
        <f>INPUT_BASE!D16*PARAMETER!$C$10</f>
        <v/>
      </c>
      <c r="E16" s="28">
        <f>INPUT_BASE!E16*PARAMETER!$C$10</f>
        <v/>
      </c>
      <c r="F16" s="28">
        <f>INPUT_BASE!F16*PARAMETER!$C$10</f>
        <v/>
      </c>
      <c r="G16" s="28">
        <f>INPUT_BASE!G16*PARAMETER!$C$10</f>
        <v/>
      </c>
      <c r="H16" s="28">
        <f>INPUT_BASE!H16*PARAMETER!$C$10</f>
        <v/>
      </c>
      <c r="I16" s="28">
        <f>INPUT_BASE!I16*PARAMETER!$C$10</f>
        <v/>
      </c>
      <c r="J16" s="25">
        <f>SUM(B16:I16)</f>
        <v/>
      </c>
    </row>
    <row r="17">
      <c r="A17" s="19" t="inlineStr">
        <is>
          <t>Cicilan pinjaman</t>
        </is>
      </c>
      <c r="B17" s="28">
        <f>INPUT_BASE!B17*PARAMETER!$C$10</f>
        <v/>
      </c>
      <c r="C17" s="28">
        <f>INPUT_BASE!C17*PARAMETER!$C$10</f>
        <v/>
      </c>
      <c r="D17" s="28">
        <f>INPUT_BASE!D17*PARAMETER!$C$10</f>
        <v/>
      </c>
      <c r="E17" s="28">
        <f>INPUT_BASE!E17*PARAMETER!$C$10</f>
        <v/>
      </c>
      <c r="F17" s="28">
        <f>INPUT_BASE!F17*PARAMETER!$C$10</f>
        <v/>
      </c>
      <c r="G17" s="28">
        <f>INPUT_BASE!G17*PARAMETER!$C$10</f>
        <v/>
      </c>
      <c r="H17" s="28">
        <f>INPUT_BASE!H17*PARAMETER!$C$10</f>
        <v/>
      </c>
      <c r="I17" s="28">
        <f>INPUT_BASE!I17*PARAMETER!$C$10</f>
        <v/>
      </c>
      <c r="J17" s="25">
        <f>SUM(B17:I17)</f>
        <v/>
      </c>
    </row>
    <row r="18">
      <c r="A18" s="19" t="inlineStr">
        <is>
          <t>Operasional lain</t>
        </is>
      </c>
      <c r="B18" s="28">
        <f>INPUT_BASE!B18*PARAMETER!$C$10</f>
        <v/>
      </c>
      <c r="C18" s="28">
        <f>INPUT_BASE!C18*PARAMETER!$C$10</f>
        <v/>
      </c>
      <c r="D18" s="28">
        <f>INPUT_BASE!D18*PARAMETER!$C$10</f>
        <v/>
      </c>
      <c r="E18" s="28">
        <f>INPUT_BASE!E18*PARAMETER!$C$10</f>
        <v/>
      </c>
      <c r="F18" s="28">
        <f>INPUT_BASE!F18*PARAMETER!$C$10</f>
        <v/>
      </c>
      <c r="G18" s="28">
        <f>INPUT_BASE!G18*PARAMETER!$C$10</f>
        <v/>
      </c>
      <c r="H18" s="28">
        <f>INPUT_BASE!H18*PARAMETER!$C$10</f>
        <v/>
      </c>
      <c r="I18" s="28">
        <f>INPUT_BASE!I18*PARAMETER!$C$10</f>
        <v/>
      </c>
      <c r="J18" s="25">
        <f>SUM(B18:I18)</f>
        <v/>
      </c>
    </row>
    <row r="19">
      <c r="A19" s="26" t="inlineStr">
        <is>
          <t>TOTAL PENGELUARAN</t>
        </is>
      </c>
      <c r="B19" s="27">
        <f>SUM(B13:B18)</f>
        <v/>
      </c>
      <c r="C19" s="27">
        <f>SUM(C13:C18)</f>
        <v/>
      </c>
      <c r="D19" s="27">
        <f>SUM(D13:D18)</f>
        <v/>
      </c>
      <c r="E19" s="27">
        <f>SUM(E13:E18)</f>
        <v/>
      </c>
      <c r="F19" s="27">
        <f>SUM(F13:F18)</f>
        <v/>
      </c>
      <c r="G19" s="27">
        <f>SUM(G13:G18)</f>
        <v/>
      </c>
      <c r="H19" s="27">
        <f>SUM(H13:H18)</f>
        <v/>
      </c>
      <c r="I19" s="27">
        <f>SUM(I13:I18)</f>
        <v/>
      </c>
      <c r="J19" s="25">
        <f>SUM(B19:I19)</f>
        <v/>
      </c>
    </row>
    <row r="20">
      <c r="A20" s="26" t="inlineStr">
        <is>
          <t>ARUS KAS BERSIH</t>
        </is>
      </c>
      <c r="B20" s="27">
        <f>B11-B19</f>
        <v/>
      </c>
      <c r="C20" s="27">
        <f>C11-C19</f>
        <v/>
      </c>
      <c r="D20" s="27">
        <f>D11-D19</f>
        <v/>
      </c>
      <c r="E20" s="27">
        <f>E11-E19</f>
        <v/>
      </c>
      <c r="F20" s="27">
        <f>F11-F19</f>
        <v/>
      </c>
      <c r="G20" s="27">
        <f>G11-G19</f>
        <v/>
      </c>
      <c r="H20" s="27">
        <f>H11-H19</f>
        <v/>
      </c>
      <c r="I20" s="27">
        <f>I11-I19</f>
        <v/>
      </c>
      <c r="J20" s="25">
        <f>SUM(B20:I20)</f>
        <v/>
      </c>
    </row>
    <row r="21">
      <c r="A21" s="19" t="inlineStr">
        <is>
          <t>Saldo awal</t>
        </is>
      </c>
      <c r="B21" s="28">
        <f>PARAMETER!$C$5</f>
        <v/>
      </c>
      <c r="C21" s="28">
        <f>B22</f>
        <v/>
      </c>
      <c r="D21" s="28">
        <f>C22</f>
        <v/>
      </c>
      <c r="E21" s="28">
        <f>D22</f>
        <v/>
      </c>
      <c r="F21" s="28">
        <f>E22</f>
        <v/>
      </c>
      <c r="G21" s="28">
        <f>F22</f>
        <v/>
      </c>
      <c r="H21" s="28">
        <f>G22</f>
        <v/>
      </c>
      <c r="I21" s="28">
        <f>H22</f>
        <v/>
      </c>
      <c r="J21" s="19" t="n"/>
    </row>
    <row r="22">
      <c r="A22" s="29" t="inlineStr">
        <is>
          <t>SALDO AKHIR</t>
        </is>
      </c>
      <c r="B22" s="30">
        <f>B21+B20</f>
        <v/>
      </c>
      <c r="C22" s="30">
        <f>C21+C20</f>
        <v/>
      </c>
      <c r="D22" s="30">
        <f>D21+D20</f>
        <v/>
      </c>
      <c r="E22" s="30">
        <f>E21+E20</f>
        <v/>
      </c>
      <c r="F22" s="30">
        <f>F21+F20</f>
        <v/>
      </c>
      <c r="G22" s="30">
        <f>G21+G20</f>
        <v/>
      </c>
      <c r="H22" s="30">
        <f>H21+H20</f>
        <v/>
      </c>
      <c r="I22" s="30">
        <f>I21+I20</f>
        <v/>
      </c>
      <c r="J22" s="19" t="n"/>
    </row>
    <row r="23">
      <c r="A23" s="22" t="inlineStr">
        <is>
          <t>Saldo minimum kebijakan</t>
        </is>
      </c>
      <c r="B23" s="31">
        <f>PARAMETER!$C$7</f>
        <v/>
      </c>
      <c r="C23" s="31">
        <f>PARAMETER!$C$7</f>
        <v/>
      </c>
      <c r="D23" s="31">
        <f>PARAMETER!$C$7</f>
        <v/>
      </c>
      <c r="E23" s="31">
        <f>PARAMETER!$C$7</f>
        <v/>
      </c>
      <c r="F23" s="31">
        <f>PARAMETER!$C$7</f>
        <v/>
      </c>
      <c r="G23" s="31">
        <f>PARAMETER!$C$7</f>
        <v/>
      </c>
      <c r="H23" s="31">
        <f>PARAMETER!$C$7</f>
        <v/>
      </c>
      <c r="I23" s="31">
        <f>PARAMETER!$C$7</f>
        <v/>
      </c>
      <c r="J23" s="19" t="n"/>
    </row>
    <row r="24">
      <c r="A24" s="16" t="inlineStr">
        <is>
          <t>Status</t>
        </is>
      </c>
      <c r="B24" s="32">
        <f>IF(B22&lt;0,"DEFISIT",IF(B22&lt;B23,"WASPADA","AMAN"))</f>
        <v/>
      </c>
      <c r="C24" s="32">
        <f>IF(C22&lt;0,"DEFISIT",IF(C22&lt;C23,"WASPADA","AMAN"))</f>
        <v/>
      </c>
      <c r="D24" s="32">
        <f>IF(D22&lt;0,"DEFISIT",IF(D22&lt;D23,"WASPADA","AMAN"))</f>
        <v/>
      </c>
      <c r="E24" s="32">
        <f>IF(E22&lt;0,"DEFISIT",IF(E22&lt;E23,"WASPADA","AMAN"))</f>
        <v/>
      </c>
      <c r="F24" s="32">
        <f>IF(F22&lt;0,"DEFISIT",IF(F22&lt;F23,"WASPADA","AMAN"))</f>
        <v/>
      </c>
      <c r="G24" s="32">
        <f>IF(G22&lt;0,"DEFISIT",IF(G22&lt;G23,"WASPADA","AMAN"))</f>
        <v/>
      </c>
      <c r="H24" s="32">
        <f>IF(H22&lt;0,"DEFISIT",IF(H22&lt;H23,"WASPADA","AMAN"))</f>
        <v/>
      </c>
      <c r="I24" s="32">
        <f>IF(I22&lt;0,"DEFISIT",IF(I22&lt;I23,"WASPADA","AMAN"))</f>
        <v/>
      </c>
      <c r="J24" s="19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A3:J3"/>
  </mergeCells>
  <conditionalFormatting sqref="B24:I24">
    <cfRule type="cellIs" priority="1" operator="equal" dxfId="0">
      <formula>"DEFISIT"</formula>
    </cfRule>
    <cfRule type="cellIs" priority="2" operator="equal" dxfId="1">
      <formula>"WASPADA"</formula>
    </cfRule>
    <cfRule type="cellIs" priority="3" operator="equal" dxfId="2">
      <formula>"AMAN"</formula>
    </cfRule>
  </conditionalFormatting>
  <conditionalFormatting sqref="B22:I22">
    <cfRule type="cellIs" priority="4" operator="less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Proyeksi Arus Kas (Demo)</dc:title>
  <dc:subject xmlns:dc="http://purl.org/dc/elements/1.1/">Lisensi: demo</dc:subject>
  <dcterms:created xmlns:dcterms="http://purl.org/dc/terms/" xmlns:xsi="http://www.w3.org/2001/XMLSchema-instance" xsi:type="dcterms:W3CDTF">2026-10-29T09:42:46Z</dcterms:created>
  <dcterms:modified xmlns:dcterms="http://purl.org/dc/terms/" xmlns:xsi="http://www.w3.org/2001/XMLSchema-instance" xsi:type="dcterms:W3CDTF">2026-10-29T09:42:46Z</dcterms:modified>
</cp:coreProperties>
</file>