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PARAMETER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PENJUALAN" sheetId="4" state="visible" r:id="rId4"/>
    <sheet xmlns:r="http://schemas.openxmlformats.org/officeDocument/2006/relationships" name="KOMISI" sheetId="5" state="visible" r:id="rId5"/>
  </sheets>
  <definedNames>
    <definedName name="_xlnm._FilterDatabase" localSheetId="3" hidden="1">'PENJUALAN'!$A$5:$D$305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(#,##0);&quot;-&quot;"/>
    <numFmt numFmtId="165" formatCode="0.0%"/>
    <numFmt numFmtId="166" formatCode="yyyy-mm-dd"/>
    <numFmt numFmtId="167" formatCode="dd-mmm-yyyy"/>
    <numFmt numFmtId="168" formatCode="0.0%;(0.0%);&quot;-&quot;"/>
    <numFmt numFmtId="169" formatCode="0.0000000"/>
  </numFmts>
  <fonts count="14">
    <font>
      <name val="Calibri"/>
      <family val="2"/>
      <color theme="1"/>
      <sz val="11"/>
      <scheme val="minor"/>
    </font>
    <font>
      <name val="Arial"/>
      <b val="1"/>
      <color rgb="000EA5A4"/>
      <sz val="11"/>
    </font>
    <font>
      <name val="Arial"/>
      <b val="1"/>
      <color rgb="000B1A30"/>
      <sz val="18"/>
    </font>
    <font>
      <name val="Arial"/>
      <color rgb="0033445C"/>
      <sz val="10"/>
    </font>
    <font>
      <name val="Arial"/>
      <b val="1"/>
      <color rgb="000B1A30"/>
      <sz val="10"/>
    </font>
    <font>
      <name val="Arial"/>
      <b val="1"/>
      <color rgb="00B9770E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B1A30"/>
      <sz val="16"/>
    </font>
    <font>
      <name val="Arial"/>
      <i val="1"/>
      <color rgb="005B6B82"/>
      <sz val="10"/>
    </font>
    <font>
      <name val="Arial"/>
      <b val="1"/>
      <color rgb="00B9770E"/>
      <sz val="9"/>
    </font>
    <font>
      <name val="Arial"/>
      <i val="1"/>
      <color rgb="005B6B82"/>
      <sz val="9"/>
    </font>
  </fonts>
  <fills count="7">
    <fill>
      <patternFill/>
    </fill>
    <fill>
      <patternFill patternType="gray125"/>
    </fill>
    <fill>
      <patternFill patternType="solid">
        <fgColor rgb="000EA5A4"/>
      </patternFill>
    </fill>
    <fill>
      <patternFill patternType="solid">
        <fgColor rgb="00FFF2CC"/>
      </patternFill>
    </fill>
    <fill>
      <patternFill patternType="solid">
        <fgColor rgb="00FDEBD0"/>
      </patternFill>
    </fill>
    <fill>
      <patternFill patternType="solid">
        <fgColor rgb="000B1A30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0" fillId="2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8" fillId="0" borderId="0" pivotButton="0" quotePrefix="0" xfId="0"/>
    <xf numFmtId="0" fontId="9" fillId="3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vertical="center"/>
    </xf>
    <xf numFmtId="0" fontId="7" fillId="0" borderId="1" pivotButton="0" quotePrefix="0" xfId="0"/>
    <xf numFmtId="1" fontId="9" fillId="3" borderId="1" applyProtection="1" pivotButton="0" quotePrefix="0" xfId="0">
      <protection locked="0" hidden="0"/>
    </xf>
    <xf numFmtId="164" fontId="9" fillId="3" borderId="1" applyProtection="1" pivotButton="0" quotePrefix="0" xfId="0">
      <protection locked="0" hidden="0"/>
    </xf>
    <xf numFmtId="0" fontId="6" fillId="5" borderId="1" applyAlignment="1" pivotButton="0" quotePrefix="0" xfId="0">
      <alignment horizontal="center" vertical="center" wrapText="1"/>
    </xf>
    <xf numFmtId="9" fontId="9" fillId="3" borderId="1" applyProtection="1" pivotButton="0" quotePrefix="0" xfId="0">
      <protection locked="0" hidden="0"/>
    </xf>
    <xf numFmtId="165" fontId="9" fillId="3" borderId="1" applyProtection="1" pivotButton="0" quotePrefix="0" xfId="0">
      <protection locked="0" hidden="0"/>
    </xf>
    <xf numFmtId="0" fontId="11" fillId="0" borderId="1" pivotButton="0" quotePrefix="0" xfId="0"/>
    <xf numFmtId="0" fontId="13" fillId="0" borderId="0" pivotButton="0" quotePrefix="0" xfId="0"/>
    <xf numFmtId="0" fontId="9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7" fontId="9" fillId="0" borderId="1" applyProtection="1" pivotButton="0" quotePrefix="0" xfId="0">
      <protection locked="0" hidden="0"/>
    </xf>
    <xf numFmtId="0" fontId="8" fillId="0" borderId="1" pivotButton="0" quotePrefix="0" xfId="0"/>
    <xf numFmtId="164" fontId="8" fillId="0" borderId="1" pivotButton="0" quotePrefix="0" xfId="0"/>
    <xf numFmtId="168" fontId="8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164" fontId="7" fillId="0" borderId="1" pivotButton="0" quotePrefix="0" xfId="0"/>
    <xf numFmtId="1" fontId="8" fillId="0" borderId="1" applyAlignment="1" pivotButton="0" quotePrefix="0" xfId="0">
      <alignment horizontal="center" vertical="center"/>
    </xf>
    <xf numFmtId="169" fontId="8" fillId="0" borderId="1" pivotButton="0" quotePrefix="0" xfId="0"/>
    <xf numFmtId="0" fontId="7" fillId="6" borderId="1" pivotButton="0" quotePrefix="0" xfId="0"/>
    <xf numFmtId="0" fontId="8" fillId="6" borderId="1" pivotButton="0" quotePrefix="0" xfId="0"/>
    <xf numFmtId="164" fontId="7" fillId="6" borderId="1" pivotButton="0" quotePrefix="0" xfId="0"/>
    <xf numFmtId="168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Arial"/>
        <b val="1"/>
        <color rgb="001E8449"/>
        <sz val="10"/>
      </font>
    </dxf>
    <dxf>
      <font>
        <name val="Arial"/>
        <b val="1"/>
        <color rgb="00C0392B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 vs Realisasi per Sales (Rp)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'KOMISI'!C5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'KOMISI'!$A$6:$A$10</f>
            </numRef>
          </cat>
          <val>
            <numRef>
              <f>'KOMISI'!$C$6:$C$10</f>
            </numRef>
          </val>
        </ser>
        <ser>
          <idx val="1"/>
          <order val="1"/>
          <tx>
            <strRef>
              <f>'KOMISI'!D5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'KOMISI'!$A$6:$A$10</f>
            </numRef>
          </cat>
          <val>
            <numRef>
              <f>'KOMISI'!$D$6:$D$10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72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0" customWidth="1" min="3" max="3"/>
  </cols>
  <sheetData>
    <row r="1">
      <c r="B1" s="1" t="inlineStr">
        <is>
          <t>Mantam Product</t>
        </is>
      </c>
    </row>
    <row r="2" ht="28" customHeight="1">
      <c r="B2" s="2" t="inlineStr">
        <is>
          <t>Target &amp; Komisi Sales</t>
        </is>
      </c>
    </row>
    <row r="3" ht="44" customHeight="1">
      <c r="B3" s="3" t="inlineStr">
        <is>
          <t>Hitung pencapaian target dan komisi berjenjang tiap tenaga penjual secara otomatis dari catatan penjualan.</t>
        </is>
      </c>
    </row>
    <row r="5">
      <c r="B5" s="4" t="inlineStr">
        <is>
          <t>Lisensi</t>
        </is>
      </c>
      <c r="C5" s="5" t="inlineStr">
        <is>
          <t>VERSI DEMO. Kapasitas dan fitur dibatasi. Pesan versi lengkap: WhatsApp 089623291732</t>
        </is>
      </c>
    </row>
    <row r="7">
      <c r="B7" s="6" t="inlineStr">
        <is>
          <t>Cara memakai</t>
        </is>
      </c>
      <c r="C7" s="7" t="n"/>
    </row>
    <row r="8" ht="16" customHeight="1">
      <c r="B8" s="8" t="inlineStr">
        <is>
          <t>Langkah 1</t>
        </is>
      </c>
      <c r="C8" s="9" t="inlineStr">
        <is>
          <t>Isi tahun, bulan periode, tarif per tingkat pencapaian, dan bonus di PARAMETER.</t>
        </is>
      </c>
    </row>
    <row r="9" ht="16" customHeight="1">
      <c r="B9" s="8" t="inlineStr">
        <is>
          <t>Langkah 2</t>
        </is>
      </c>
      <c r="C9" s="9" t="inlineStr">
        <is>
          <t>Daftarkan sales dan target bulanan di SALES.</t>
        </is>
      </c>
    </row>
    <row r="10" ht="16" customHeight="1">
      <c r="B10" s="8" t="inlineStr">
        <is>
          <t>Langkah 3</t>
        </is>
      </c>
      <c r="C10" s="9" t="inlineStr">
        <is>
          <t>Catat setiap penjualan di PENJUALAN (tanggal, sales, jenis, nilai).</t>
        </is>
      </c>
    </row>
    <row r="11" ht="16" customHeight="1">
      <c r="B11" s="8" t="inlineStr">
        <is>
          <t>Langkah 4</t>
        </is>
      </c>
      <c r="C11" s="9" t="inlineStr">
        <is>
          <t>Baca KOMISI: ganti bulan periode untuk melihat bulan lain.</t>
        </is>
      </c>
    </row>
    <row r="13">
      <c r="B13" s="6" t="inlineStr">
        <is>
          <t>Isi berkas</t>
        </is>
      </c>
      <c r="C13" s="7" t="n"/>
    </row>
    <row r="14" ht="16" customHeight="1">
      <c r="B14" s="8" t="inlineStr">
        <is>
          <t>PARAMETER</t>
        </is>
      </c>
      <c r="C14" s="9" t="inlineStr">
        <is>
          <t>Tahun, bulan periode, tabel tarif komisi per tingkat pencapaian, dan bonus.</t>
        </is>
      </c>
    </row>
    <row r="15" ht="16" customHeight="1">
      <c r="B15" s="8" t="inlineStr">
        <is>
          <t>SALES</t>
        </is>
      </c>
      <c r="C15" s="9" t="inlineStr">
        <is>
          <t>Daftar tenaga penjual, wilayah, dan target bulanan.</t>
        </is>
      </c>
    </row>
    <row r="16" ht="16" customHeight="1">
      <c r="B16" s="8" t="inlineStr">
        <is>
          <t>PENJUALAN</t>
        </is>
      </c>
      <c r="C16" s="9" t="inlineStr">
        <is>
          <t>Catatan penjualan (kapasitas 300 baris): tanggal, sales, jenis, nilai.</t>
        </is>
      </c>
    </row>
    <row r="17" ht="30" customHeight="1">
      <c r="B17" s="8" t="inlineStr">
        <is>
          <t>KOMISI</t>
        </is>
      </c>
      <c r="C17" s="9" t="inlineStr">
        <is>
          <t>Perhitungan target, realisasi, pencapaian, tarif, komisi, bonus, dan peringkat untuk bulan terpilih.</t>
        </is>
      </c>
    </row>
    <row r="19">
      <c r="B19" s="6" t="inlineStr">
        <is>
          <t>Legenda warna</t>
        </is>
      </c>
      <c r="C19" s="7" t="n"/>
    </row>
    <row r="20">
      <c r="B20" s="10" t="inlineStr">
        <is>
          <t>Teks biru</t>
        </is>
      </c>
      <c r="C20" s="11" t="inlineStr">
        <is>
          <t>Sel input: boleh Anda ubah (tidak terkunci).</t>
        </is>
      </c>
    </row>
    <row r="21">
      <c r="B21" s="12" t="inlineStr">
        <is>
          <t>Sel kuning</t>
        </is>
      </c>
      <c r="C21" s="11" t="inlineStr">
        <is>
          <t>Parameter kunci: periksa terlebih dulu.</t>
        </is>
      </c>
    </row>
    <row r="22">
      <c r="B22" s="11" t="inlineStr">
        <is>
          <t>Teks hitam</t>
        </is>
      </c>
      <c r="C22" s="11" t="inlineStr">
        <is>
          <t>Rumus otomatis (terkunci; Review &gt; Unprotect Sheet tanpa kata sandi bila perlu).</t>
        </is>
      </c>
    </row>
    <row r="24">
      <c r="B24" s="6" t="inlineStr">
        <is>
          <t>Catatan</t>
        </is>
      </c>
      <c r="C24" s="7" t="n"/>
    </row>
    <row r="25" ht="16" customHeight="1">
      <c r="C25" s="9" t="inlineStr">
        <is>
          <t>• Seluruh data adalah simulasi buatan, bukan data perusahaan nyata.</t>
        </is>
      </c>
    </row>
    <row r="26" ht="30" customHeight="1">
      <c r="C26" s="9" t="inlineStr">
        <is>
          <t>• Hasil perhitungan adalah alat bantu; verifikasi dengan akuntan/konsultan sebelum dipakai untuk keputusan atau pelaporan resmi.</t>
        </is>
      </c>
    </row>
    <row r="27" ht="30" customHeight="1">
      <c r="C27" s="9" t="inlineStr">
        <is>
          <t>• Tarif komisi berlaku untuk seluruh realisasi bulan itu sesuai tingkat pencapaian (bukan bertingkat marginal).</t>
        </is>
      </c>
    </row>
    <row r="28" ht="16" customHeight="1">
      <c r="C28" s="9" t="inlineStr">
        <is>
          <t>• Skema komisi ini contoh; sesuaikan dengan kebijakan perusahaan dan perjanjian kerja.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40" customWidth="1" min="4" max="4"/>
  </cols>
  <sheetData>
    <row r="1" ht="24" customHeight="1">
      <c r="A1" s="13" t="inlineStr">
        <is>
          <t>Parameter</t>
        </is>
      </c>
    </row>
    <row r="2">
      <c r="A2" s="14" t="inlineStr">
        <is>
          <t>Isi sel kuning.</t>
        </is>
      </c>
    </row>
    <row r="3">
      <c r="A3" s="15" t="inlineStr">
        <is>
          <t>VERSI DEMO: kapasitas &amp; fitur dibatasi, data simulasi. Versi lengkap: WhatsApp 089623291732</t>
        </is>
      </c>
    </row>
    <row r="5">
      <c r="B5" s="16" t="inlineStr">
        <is>
          <t>Tahun</t>
        </is>
      </c>
      <c r="C5" s="17" t="n">
        <v>2026</v>
      </c>
    </row>
    <row r="6">
      <c r="B6" s="16" t="inlineStr">
        <is>
          <t>Bulan periode (1-12)</t>
        </is>
      </c>
      <c r="C6" s="17" t="n">
        <v>10</v>
      </c>
    </row>
    <row r="7">
      <c r="B7" s="16" t="inlineStr">
        <is>
          <t>Bonus pencapaian ≥ 100% (Rp)</t>
        </is>
      </c>
      <c r="C7" s="18" t="n">
        <v>2000000</v>
      </c>
    </row>
    <row r="9" ht="22" customHeight="1">
      <c r="B9" s="19" t="inlineStr">
        <is>
          <t>Pencapaian minimal</t>
        </is>
      </c>
      <c r="C9" s="19" t="inlineStr">
        <is>
          <t>Tarif komisi</t>
        </is>
      </c>
      <c r="D9" s="19" t="inlineStr">
        <is>
          <t>Keterangan</t>
        </is>
      </c>
    </row>
    <row r="10">
      <c r="B10" s="20" t="n">
        <v>0</v>
      </c>
      <c r="C10" s="21" t="n">
        <v>0.01</v>
      </c>
      <c r="D10" s="22" t="inlineStr">
        <is>
          <t>Di bawah 80%</t>
        </is>
      </c>
    </row>
    <row r="11">
      <c r="B11" s="20" t="n">
        <v>0.8</v>
      </c>
      <c r="C11" s="21" t="n">
        <v>0.02</v>
      </c>
      <c r="D11" s="22" t="inlineStr">
        <is>
          <t>80% sampai kurang dari 100%</t>
        </is>
      </c>
    </row>
    <row r="12">
      <c r="B12" s="20" t="n">
        <v>1</v>
      </c>
      <c r="C12" s="21" t="n">
        <v>0.03</v>
      </c>
      <c r="D12" s="22" t="inlineStr">
        <is>
          <t>100% sampai kurang dari 120%</t>
        </is>
      </c>
    </row>
    <row r="13">
      <c r="B13" s="20" t="n">
        <v>1.2</v>
      </c>
      <c r="C13" s="21" t="n">
        <v>0.04</v>
      </c>
      <c r="D13" s="22" t="inlineStr">
        <is>
          <t>120% ke atas</t>
        </is>
      </c>
    </row>
    <row r="14">
      <c r="B14" s="23" t="inlineStr">
        <is>
          <t>Batas minimal harus berurutan dari kecil ke besar; baris pertama harus 0%.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A3:D3"/>
  </mergeCells>
  <dataValidations count="1">
    <dataValidation sqref="C6" showDropDown="0" showInputMessage="0" showErrorMessage="1" allowBlank="1" error="Isi angka antara 1 dan 12" type="whole" operator="between">
      <formula1>1</formula1>
      <formula2>12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0" customWidth="1" min="3" max="3"/>
  </cols>
  <sheetData>
    <row r="1" ht="24" customHeight="1">
      <c r="A1" s="13" t="inlineStr">
        <is>
          <t>Daftar Sales</t>
        </is>
      </c>
    </row>
    <row r="3">
      <c r="A3" s="15" t="inlineStr">
        <is>
          <t>VERSI DEMO: kapasitas &amp; fitur dibatasi, data simulasi. Versi lengkap: WhatsApp 089623291732</t>
        </is>
      </c>
    </row>
    <row r="5" ht="26" customHeight="1">
      <c r="A5" s="19" t="inlineStr">
        <is>
          <t>Nama</t>
        </is>
      </c>
      <c r="B5" s="19" t="inlineStr">
        <is>
          <t>Wilayah</t>
        </is>
      </c>
      <c r="C5" s="19" t="inlineStr">
        <is>
          <t>Target Bulanan (Rp)</t>
        </is>
      </c>
    </row>
    <row r="6">
      <c r="A6" s="24" t="inlineStr">
        <is>
          <t>Rina Pratama</t>
        </is>
      </c>
      <c r="B6" s="24" t="inlineStr">
        <is>
          <t>Jakarta</t>
        </is>
      </c>
      <c r="C6" s="25" t="n">
        <v>200000000</v>
      </c>
    </row>
    <row r="7">
      <c r="A7" s="24" t="inlineStr">
        <is>
          <t>Dimas Anggoro</t>
        </is>
      </c>
      <c r="B7" s="24" t="inlineStr">
        <is>
          <t>Bandung</t>
        </is>
      </c>
      <c r="C7" s="25" t="n">
        <v>400000000</v>
      </c>
    </row>
    <row r="8">
      <c r="A8" s="24" t="inlineStr">
        <is>
          <t>Sekar Wulandari</t>
        </is>
      </c>
      <c r="B8" s="24" t="inlineStr">
        <is>
          <t>Surabaya</t>
        </is>
      </c>
      <c r="C8" s="25" t="n">
        <v>200000000</v>
      </c>
    </row>
    <row r="9">
      <c r="A9" s="24" t="inlineStr">
        <is>
          <t>Bagas Nugroho</t>
        </is>
      </c>
      <c r="B9" s="24" t="inlineStr">
        <is>
          <t>Medan</t>
        </is>
      </c>
      <c r="C9" s="25" t="n">
        <v>400000000</v>
      </c>
    </row>
    <row r="10">
      <c r="A10" s="24" t="inlineStr">
        <is>
          <t>Maya Kusuma</t>
        </is>
      </c>
      <c r="B10" s="24" t="inlineStr">
        <is>
          <t>Makassar</t>
        </is>
      </c>
      <c r="C10" s="25" t="n">
        <v>350000000</v>
      </c>
    </row>
    <row r="11">
      <c r="A11" s="24" t="n"/>
      <c r="B11" s="24" t="n"/>
      <c r="C11" s="25" t="n"/>
    </row>
    <row r="12">
      <c r="A12" s="24" t="n"/>
      <c r="B12" s="24" t="n"/>
      <c r="C12" s="25" t="n"/>
    </row>
    <row r="13">
      <c r="A13" s="24" t="n"/>
      <c r="B13" s="24" t="n"/>
      <c r="C13" s="25" t="n"/>
    </row>
    <row r="14">
      <c r="A14" s="24" t="n"/>
      <c r="B14" s="24" t="n"/>
      <c r="C14" s="25" t="n"/>
    </row>
    <row r="15">
      <c r="A15" s="24" t="n"/>
      <c r="B15" s="24" t="n"/>
      <c r="C15" s="25" t="n"/>
    </row>
    <row r="16">
      <c r="A16" s="24" t="n"/>
      <c r="B16" s="24" t="n"/>
      <c r="C16" s="25" t="n"/>
    </row>
    <row r="17">
      <c r="A17" s="24" t="n"/>
      <c r="B17" s="24" t="n"/>
      <c r="C17" s="25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A3:C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18" customWidth="1" min="4" max="4"/>
  </cols>
  <sheetData>
    <row r="1" ht="24" customHeight="1">
      <c r="A1" s="13" t="inlineStr">
        <is>
          <t>Catatan Penjualan</t>
        </is>
      </c>
    </row>
    <row r="2">
      <c r="A2" s="14" t="inlineStr">
        <is>
          <t>Kapasitas 300 baris</t>
        </is>
      </c>
    </row>
    <row r="3">
      <c r="A3" s="15" t="inlineStr">
        <is>
          <t>VERSI DEMO: kapasitas &amp; fitur dibatasi, data simulasi. Versi lengkap: WhatsApp 089623291732</t>
        </is>
      </c>
    </row>
    <row r="5" ht="26" customHeight="1">
      <c r="A5" s="19" t="inlineStr">
        <is>
          <t>Tanggal</t>
        </is>
      </c>
      <c r="B5" s="19" t="inlineStr">
        <is>
          <t>Sales</t>
        </is>
      </c>
      <c r="C5" s="19" t="inlineStr">
        <is>
          <t>Jenis</t>
        </is>
      </c>
      <c r="D5" s="19" t="inlineStr">
        <is>
          <t>Nilai (Rp)</t>
        </is>
      </c>
    </row>
    <row r="6">
      <c r="A6" s="26" t="n">
        <v>46267</v>
      </c>
      <c r="B6" s="24" t="inlineStr">
        <is>
          <t>Maya Kusuma</t>
        </is>
      </c>
      <c r="C6" s="24" t="inlineStr">
        <is>
          <t>Distributor</t>
        </is>
      </c>
      <c r="D6" s="25" t="n">
        <v>33600000</v>
      </c>
    </row>
    <row r="7">
      <c r="A7" s="26" t="n">
        <v>46268</v>
      </c>
      <c r="B7" s="24" t="inlineStr">
        <is>
          <t>Bagas Nugroho</t>
        </is>
      </c>
      <c r="C7" s="24" t="inlineStr">
        <is>
          <t>Reseller</t>
        </is>
      </c>
      <c r="D7" s="25" t="n">
        <v>45600000</v>
      </c>
    </row>
    <row r="8">
      <c r="A8" s="26" t="n">
        <v>46268</v>
      </c>
      <c r="B8" s="24" t="inlineStr">
        <is>
          <t>Maya Kusuma</t>
        </is>
      </c>
      <c r="C8" s="24" t="inlineStr">
        <is>
          <t>Langganan</t>
        </is>
      </c>
      <c r="D8" s="25" t="n">
        <v>22700000</v>
      </c>
    </row>
    <row r="9">
      <c r="A9" s="26" t="n">
        <v>46270</v>
      </c>
      <c r="B9" s="24" t="inlineStr">
        <is>
          <t>Bagas Nugroho</t>
        </is>
      </c>
      <c r="C9" s="24" t="inlineStr">
        <is>
          <t>Langganan</t>
        </is>
      </c>
      <c r="D9" s="25" t="n">
        <v>177900000</v>
      </c>
    </row>
    <row r="10">
      <c r="A10" s="26" t="n">
        <v>46272</v>
      </c>
      <c r="B10" s="24" t="inlineStr">
        <is>
          <t>Maya Kusuma</t>
        </is>
      </c>
      <c r="C10" s="24" t="inlineStr">
        <is>
          <t>Distributor</t>
        </is>
      </c>
      <c r="D10" s="25" t="n">
        <v>12100000</v>
      </c>
    </row>
    <row r="11">
      <c r="A11" s="26" t="n">
        <v>46274</v>
      </c>
      <c r="B11" s="24" t="inlineStr">
        <is>
          <t>Dimas Anggoro</t>
        </is>
      </c>
      <c r="C11" s="24" t="inlineStr">
        <is>
          <t>Langganan</t>
        </is>
      </c>
      <c r="D11" s="25" t="n">
        <v>24500000</v>
      </c>
    </row>
    <row r="12">
      <c r="A12" s="26" t="n">
        <v>46274</v>
      </c>
      <c r="B12" s="24" t="inlineStr">
        <is>
          <t>Sekar Wulandari</t>
        </is>
      </c>
      <c r="C12" s="24" t="inlineStr">
        <is>
          <t>Reseller</t>
        </is>
      </c>
      <c r="D12" s="25" t="n">
        <v>30500000</v>
      </c>
    </row>
    <row r="13">
      <c r="A13" s="26" t="n">
        <v>46275</v>
      </c>
      <c r="B13" s="24" t="inlineStr">
        <is>
          <t>Bagas Nugroho</t>
        </is>
      </c>
      <c r="C13" s="24" t="inlineStr">
        <is>
          <t>Langganan</t>
        </is>
      </c>
      <c r="D13" s="25" t="n">
        <v>5700000</v>
      </c>
    </row>
    <row r="14">
      <c r="A14" s="26" t="n">
        <v>46276</v>
      </c>
      <c r="B14" s="24" t="inlineStr">
        <is>
          <t>Rina Pratama</t>
        </is>
      </c>
      <c r="C14" s="24" t="inlineStr">
        <is>
          <t>Kontrak Tahunan</t>
        </is>
      </c>
      <c r="D14" s="25" t="n">
        <v>27300000</v>
      </c>
    </row>
    <row r="15">
      <c r="A15" s="26" t="n">
        <v>46277</v>
      </c>
      <c r="B15" s="24" t="inlineStr">
        <is>
          <t>Rina Pratama</t>
        </is>
      </c>
      <c r="C15" s="24" t="inlineStr">
        <is>
          <t>Proyek Khusus</t>
        </is>
      </c>
      <c r="D15" s="25" t="n">
        <v>3600000</v>
      </c>
    </row>
    <row r="16">
      <c r="A16" s="26" t="n">
        <v>46277</v>
      </c>
      <c r="B16" s="24" t="inlineStr">
        <is>
          <t>Sekar Wulandari</t>
        </is>
      </c>
      <c r="C16" s="24" t="inlineStr">
        <is>
          <t>Paket Retail</t>
        </is>
      </c>
      <c r="D16" s="25" t="n">
        <v>39600000</v>
      </c>
    </row>
    <row r="17">
      <c r="A17" s="26" t="n">
        <v>46278</v>
      </c>
      <c r="B17" s="24" t="inlineStr">
        <is>
          <t>Rina Pratama</t>
        </is>
      </c>
      <c r="C17" s="24" t="inlineStr">
        <is>
          <t>Proyek Khusus</t>
        </is>
      </c>
      <c r="D17" s="25" t="n">
        <v>17800000</v>
      </c>
    </row>
    <row r="18">
      <c r="A18" s="26" t="n">
        <v>46278</v>
      </c>
      <c r="B18" s="24" t="inlineStr">
        <is>
          <t>Maya Kusuma</t>
        </is>
      </c>
      <c r="C18" s="24" t="inlineStr">
        <is>
          <t>Paket Retail</t>
        </is>
      </c>
      <c r="D18" s="25" t="n">
        <v>20100000</v>
      </c>
    </row>
    <row r="19">
      <c r="A19" s="26" t="n">
        <v>46279</v>
      </c>
      <c r="B19" s="24" t="inlineStr">
        <is>
          <t>Sekar Wulandari</t>
        </is>
      </c>
      <c r="C19" s="24" t="inlineStr">
        <is>
          <t>Distributor</t>
        </is>
      </c>
      <c r="D19" s="25" t="n">
        <v>8400000</v>
      </c>
    </row>
    <row r="20">
      <c r="A20" s="26" t="n">
        <v>46279</v>
      </c>
      <c r="B20" s="24" t="inlineStr">
        <is>
          <t>Bagas Nugroho</t>
        </is>
      </c>
      <c r="C20" s="24" t="inlineStr">
        <is>
          <t>Reseller</t>
        </is>
      </c>
      <c r="D20" s="25" t="n">
        <v>31600000</v>
      </c>
    </row>
    <row r="21">
      <c r="A21" s="26" t="n">
        <v>46280</v>
      </c>
      <c r="B21" s="24" t="inlineStr">
        <is>
          <t>Dimas Anggoro</t>
        </is>
      </c>
      <c r="C21" s="24" t="inlineStr">
        <is>
          <t>Distributor</t>
        </is>
      </c>
      <c r="D21" s="25" t="n">
        <v>63600000</v>
      </c>
    </row>
    <row r="22">
      <c r="A22" s="26" t="n">
        <v>46280</v>
      </c>
      <c r="B22" s="24" t="inlineStr">
        <is>
          <t>Sekar Wulandari</t>
        </is>
      </c>
      <c r="C22" s="24" t="inlineStr">
        <is>
          <t>Distributor</t>
        </is>
      </c>
      <c r="D22" s="25" t="n">
        <v>7100000</v>
      </c>
    </row>
    <row r="23">
      <c r="A23" s="26" t="n">
        <v>46281</v>
      </c>
      <c r="B23" s="24" t="inlineStr">
        <is>
          <t>Rina Pratama</t>
        </is>
      </c>
      <c r="C23" s="24" t="inlineStr">
        <is>
          <t>Distributor</t>
        </is>
      </c>
      <c r="D23" s="25" t="n">
        <v>16800000</v>
      </c>
    </row>
    <row r="24">
      <c r="A24" s="26" t="n">
        <v>46281</v>
      </c>
      <c r="B24" s="24" t="inlineStr">
        <is>
          <t>Dimas Anggoro</t>
        </is>
      </c>
      <c r="C24" s="24" t="inlineStr">
        <is>
          <t>Kontrak Tahunan</t>
        </is>
      </c>
      <c r="D24" s="25" t="n">
        <v>5100000</v>
      </c>
    </row>
    <row r="25">
      <c r="A25" s="26" t="n">
        <v>46281</v>
      </c>
      <c r="B25" s="24" t="inlineStr">
        <is>
          <t>Dimas Anggoro</t>
        </is>
      </c>
      <c r="C25" s="24" t="inlineStr">
        <is>
          <t>Kontrak Tahunan</t>
        </is>
      </c>
      <c r="D25" s="25" t="n">
        <v>11600000</v>
      </c>
    </row>
    <row r="26">
      <c r="A26" s="26" t="n">
        <v>46281</v>
      </c>
      <c r="B26" s="24" t="inlineStr">
        <is>
          <t>Dimas Anggoro</t>
        </is>
      </c>
      <c r="C26" s="24" t="inlineStr">
        <is>
          <t>Distributor</t>
        </is>
      </c>
      <c r="D26" s="25" t="n">
        <v>40400000</v>
      </c>
    </row>
    <row r="27">
      <c r="A27" s="26" t="n">
        <v>46281</v>
      </c>
      <c r="B27" s="24" t="inlineStr">
        <is>
          <t>Sekar Wulandari</t>
        </is>
      </c>
      <c r="C27" s="24" t="inlineStr">
        <is>
          <t>Paket Retail</t>
        </is>
      </c>
      <c r="D27" s="25" t="n">
        <v>35300000</v>
      </c>
    </row>
    <row r="28">
      <c r="A28" s="26" t="n">
        <v>46281</v>
      </c>
      <c r="B28" s="24" t="inlineStr">
        <is>
          <t>Bagas Nugroho</t>
        </is>
      </c>
      <c r="C28" s="24" t="inlineStr">
        <is>
          <t>Langganan</t>
        </is>
      </c>
      <c r="D28" s="25" t="n">
        <v>2600000</v>
      </c>
    </row>
    <row r="29">
      <c r="A29" s="26" t="n">
        <v>46282</v>
      </c>
      <c r="B29" s="24" t="inlineStr">
        <is>
          <t>Bagas Nugroho</t>
        </is>
      </c>
      <c r="C29" s="24" t="inlineStr">
        <is>
          <t>Proyek Khusus</t>
        </is>
      </c>
      <c r="D29" s="25" t="n">
        <v>14400000</v>
      </c>
    </row>
    <row r="30">
      <c r="A30" s="26" t="n">
        <v>46283</v>
      </c>
      <c r="B30" s="24" t="inlineStr">
        <is>
          <t>Maya Kusuma</t>
        </is>
      </c>
      <c r="C30" s="24" t="inlineStr">
        <is>
          <t>Paket Retail</t>
        </is>
      </c>
      <c r="D30" s="25" t="n">
        <v>11900000</v>
      </c>
    </row>
    <row r="31">
      <c r="A31" s="26" t="n">
        <v>46285</v>
      </c>
      <c r="B31" s="24" t="inlineStr">
        <is>
          <t>Dimas Anggoro</t>
        </is>
      </c>
      <c r="C31" s="24" t="inlineStr">
        <is>
          <t>Reseller</t>
        </is>
      </c>
      <c r="D31" s="25" t="n">
        <v>5500000</v>
      </c>
    </row>
    <row r="32">
      <c r="A32" s="26" t="n">
        <v>46285</v>
      </c>
      <c r="B32" s="24" t="inlineStr">
        <is>
          <t>Maya Kusuma</t>
        </is>
      </c>
      <c r="C32" s="24" t="inlineStr">
        <is>
          <t>Kontrak Tahunan</t>
        </is>
      </c>
      <c r="D32" s="25" t="n">
        <v>35900000</v>
      </c>
    </row>
    <row r="33">
      <c r="A33" s="26" t="n">
        <v>46286</v>
      </c>
      <c r="B33" s="24" t="inlineStr">
        <is>
          <t>Rina Pratama</t>
        </is>
      </c>
      <c r="C33" s="24" t="inlineStr">
        <is>
          <t>Paket Retail</t>
        </is>
      </c>
      <c r="D33" s="25" t="n">
        <v>24000000</v>
      </c>
    </row>
    <row r="34">
      <c r="A34" s="26" t="n">
        <v>46286</v>
      </c>
      <c r="B34" s="24" t="inlineStr">
        <is>
          <t>Dimas Anggoro</t>
        </is>
      </c>
      <c r="C34" s="24" t="inlineStr">
        <is>
          <t>Distributor</t>
        </is>
      </c>
      <c r="D34" s="25" t="n">
        <v>20700000</v>
      </c>
    </row>
    <row r="35">
      <c r="A35" s="26" t="n">
        <v>46286</v>
      </c>
      <c r="B35" s="24" t="inlineStr">
        <is>
          <t>Sekar Wulandari</t>
        </is>
      </c>
      <c r="C35" s="24" t="inlineStr">
        <is>
          <t>Proyek Khusus</t>
        </is>
      </c>
      <c r="D35" s="25" t="n">
        <v>21800000</v>
      </c>
    </row>
    <row r="36">
      <c r="A36" s="26" t="n">
        <v>46287</v>
      </c>
      <c r="B36" s="24" t="inlineStr">
        <is>
          <t>Bagas Nugroho</t>
        </is>
      </c>
      <c r="C36" s="24" t="inlineStr">
        <is>
          <t>Kontrak Tahunan</t>
        </is>
      </c>
      <c r="D36" s="25" t="n">
        <v>12700000</v>
      </c>
    </row>
    <row r="37">
      <c r="A37" s="26" t="n">
        <v>46287</v>
      </c>
      <c r="B37" s="24" t="inlineStr">
        <is>
          <t>Maya Kusuma</t>
        </is>
      </c>
      <c r="C37" s="24" t="inlineStr">
        <is>
          <t>Distributor</t>
        </is>
      </c>
      <c r="D37" s="25" t="n">
        <v>42600000</v>
      </c>
    </row>
    <row r="38">
      <c r="A38" s="26" t="n">
        <v>46288</v>
      </c>
      <c r="B38" s="24" t="inlineStr">
        <is>
          <t>Sekar Wulandari</t>
        </is>
      </c>
      <c r="C38" s="24" t="inlineStr">
        <is>
          <t>Langganan</t>
        </is>
      </c>
      <c r="D38" s="25" t="n">
        <v>54300000</v>
      </c>
    </row>
    <row r="39">
      <c r="A39" s="26" t="n">
        <v>46289</v>
      </c>
      <c r="B39" s="24" t="inlineStr">
        <is>
          <t>Rina Pratama</t>
        </is>
      </c>
      <c r="C39" s="24" t="inlineStr">
        <is>
          <t>Langganan</t>
        </is>
      </c>
      <c r="D39" s="25" t="n">
        <v>8600000</v>
      </c>
    </row>
    <row r="40">
      <c r="A40" s="26" t="n">
        <v>46291</v>
      </c>
      <c r="B40" s="24" t="inlineStr">
        <is>
          <t>Rina Pratama</t>
        </is>
      </c>
      <c r="C40" s="24" t="inlineStr">
        <is>
          <t>Reseller</t>
        </is>
      </c>
      <c r="D40" s="25" t="n">
        <v>17800000</v>
      </c>
    </row>
    <row r="41">
      <c r="A41" s="26" t="n">
        <v>46291</v>
      </c>
      <c r="B41" s="24" t="inlineStr">
        <is>
          <t>Bagas Nugroho</t>
        </is>
      </c>
      <c r="C41" s="24" t="inlineStr">
        <is>
          <t>Langganan</t>
        </is>
      </c>
      <c r="D41" s="25" t="n">
        <v>33100000</v>
      </c>
    </row>
    <row r="42">
      <c r="A42" s="26" t="n">
        <v>46292</v>
      </c>
      <c r="B42" s="24" t="inlineStr">
        <is>
          <t>Rina Pratama</t>
        </is>
      </c>
      <c r="C42" s="24" t="inlineStr">
        <is>
          <t>Distributor</t>
        </is>
      </c>
      <c r="D42" s="25" t="n">
        <v>14400000</v>
      </c>
    </row>
    <row r="43">
      <c r="A43" s="26" t="n">
        <v>46293</v>
      </c>
      <c r="B43" s="24" t="inlineStr">
        <is>
          <t>Dimas Anggoro</t>
        </is>
      </c>
      <c r="C43" s="24" t="inlineStr">
        <is>
          <t>Paket Retail</t>
        </is>
      </c>
      <c r="D43" s="25" t="n">
        <v>5700000</v>
      </c>
    </row>
    <row r="44">
      <c r="A44" s="26" t="n">
        <v>46294</v>
      </c>
      <c r="B44" s="24" t="inlineStr">
        <is>
          <t>Sekar Wulandari</t>
        </is>
      </c>
      <c r="C44" s="24" t="inlineStr">
        <is>
          <t>Reseller</t>
        </is>
      </c>
      <c r="D44" s="25" t="n">
        <v>9600000</v>
      </c>
    </row>
    <row r="45">
      <c r="A45" s="26" t="n">
        <v>46294</v>
      </c>
      <c r="B45" s="24" t="inlineStr">
        <is>
          <t>Bagas Nugroho</t>
        </is>
      </c>
      <c r="C45" s="24" t="inlineStr">
        <is>
          <t>Distributor</t>
        </is>
      </c>
      <c r="D45" s="25" t="n">
        <v>95200000</v>
      </c>
    </row>
    <row r="46">
      <c r="A46" s="26" t="n">
        <v>46295</v>
      </c>
      <c r="B46" s="24" t="inlineStr">
        <is>
          <t>Dimas Anggoro</t>
        </is>
      </c>
      <c r="C46" s="24" t="inlineStr">
        <is>
          <t>Langganan</t>
        </is>
      </c>
      <c r="D46" s="25" t="n">
        <v>39500000</v>
      </c>
    </row>
    <row r="47">
      <c r="A47" s="26" t="n">
        <v>46295</v>
      </c>
      <c r="B47" s="24" t="inlineStr">
        <is>
          <t>Sekar Wulandari</t>
        </is>
      </c>
      <c r="C47" s="24" t="inlineStr">
        <is>
          <t>Kontrak Tahunan</t>
        </is>
      </c>
      <c r="D47" s="25" t="n">
        <v>5000000</v>
      </c>
    </row>
    <row r="48">
      <c r="A48" s="26" t="n">
        <v>46295</v>
      </c>
      <c r="B48" s="24" t="inlineStr">
        <is>
          <t>Bagas Nugroho</t>
        </is>
      </c>
      <c r="C48" s="24" t="inlineStr">
        <is>
          <t>Kontrak Tahunan</t>
        </is>
      </c>
      <c r="D48" s="25" t="n">
        <v>86300000</v>
      </c>
    </row>
    <row r="49">
      <c r="A49" s="26" t="n">
        <v>46295</v>
      </c>
      <c r="B49" s="24" t="inlineStr">
        <is>
          <t>Maya Kusuma</t>
        </is>
      </c>
      <c r="C49" s="24" t="inlineStr">
        <is>
          <t>Kontrak Tahunan</t>
        </is>
      </c>
      <c r="D49" s="25" t="n">
        <v>54400000</v>
      </c>
    </row>
    <row r="50">
      <c r="A50" s="26" t="n">
        <v>46296</v>
      </c>
      <c r="B50" s="24" t="inlineStr">
        <is>
          <t>Dimas Anggoro</t>
        </is>
      </c>
      <c r="C50" s="24" t="inlineStr">
        <is>
          <t>Paket Retail</t>
        </is>
      </c>
      <c r="D50" s="25" t="n">
        <v>40700000</v>
      </c>
    </row>
    <row r="51">
      <c r="A51" s="26" t="n">
        <v>46296</v>
      </c>
      <c r="B51" s="24" t="inlineStr">
        <is>
          <t>Bagas Nugroho</t>
        </is>
      </c>
      <c r="C51" s="24" t="inlineStr">
        <is>
          <t>Langganan</t>
        </is>
      </c>
      <c r="D51" s="25" t="n">
        <v>120700000</v>
      </c>
    </row>
    <row r="52">
      <c r="A52" s="26" t="n">
        <v>46297</v>
      </c>
      <c r="B52" s="24" t="inlineStr">
        <is>
          <t>Bagas Nugroho</t>
        </is>
      </c>
      <c r="C52" s="24" t="inlineStr">
        <is>
          <t>Proyek Khusus</t>
        </is>
      </c>
      <c r="D52" s="25" t="n">
        <v>5300000</v>
      </c>
    </row>
    <row r="53">
      <c r="A53" s="26" t="n">
        <v>46300</v>
      </c>
      <c r="B53" s="24" t="inlineStr">
        <is>
          <t>Dimas Anggoro</t>
        </is>
      </c>
      <c r="C53" s="24" t="inlineStr">
        <is>
          <t>Distributor</t>
        </is>
      </c>
      <c r="D53" s="25" t="n">
        <v>14900000</v>
      </c>
    </row>
    <row r="54">
      <c r="A54" s="26" t="n">
        <v>46301</v>
      </c>
      <c r="B54" s="24" t="inlineStr">
        <is>
          <t>Maya Kusuma</t>
        </is>
      </c>
      <c r="C54" s="24" t="inlineStr">
        <is>
          <t>Distributor</t>
        </is>
      </c>
      <c r="D54" s="25" t="n">
        <v>108400000</v>
      </c>
    </row>
    <row r="55">
      <c r="A55" s="26" t="n">
        <v>46303</v>
      </c>
      <c r="B55" s="24" t="inlineStr">
        <is>
          <t>Sekar Wulandari</t>
        </is>
      </c>
      <c r="C55" s="24" t="inlineStr">
        <is>
          <t>Paket Retail</t>
        </is>
      </c>
      <c r="D55" s="25" t="n">
        <v>9700000</v>
      </c>
    </row>
    <row r="56">
      <c r="A56" s="26" t="n">
        <v>46304</v>
      </c>
      <c r="B56" s="24" t="inlineStr">
        <is>
          <t>Rina Pratama</t>
        </is>
      </c>
      <c r="C56" s="24" t="inlineStr">
        <is>
          <t>Reseller</t>
        </is>
      </c>
      <c r="D56" s="25" t="n">
        <v>20900000</v>
      </c>
    </row>
    <row r="57">
      <c r="A57" s="26" t="n">
        <v>46305</v>
      </c>
      <c r="B57" s="24" t="inlineStr">
        <is>
          <t>Dimas Anggoro</t>
        </is>
      </c>
      <c r="C57" s="24" t="inlineStr">
        <is>
          <t>Proyek Khusus</t>
        </is>
      </c>
      <c r="D57" s="25" t="n">
        <v>99900000</v>
      </c>
    </row>
    <row r="58">
      <c r="A58" s="26" t="n">
        <v>46307</v>
      </c>
      <c r="B58" s="24" t="inlineStr">
        <is>
          <t>Rina Pratama</t>
        </is>
      </c>
      <c r="C58" s="24" t="inlineStr">
        <is>
          <t>Reseller</t>
        </is>
      </c>
      <c r="D58" s="25" t="n">
        <v>4200000</v>
      </c>
    </row>
    <row r="59">
      <c r="A59" s="26" t="n">
        <v>46307</v>
      </c>
      <c r="B59" s="24" t="inlineStr">
        <is>
          <t>Dimas Anggoro</t>
        </is>
      </c>
      <c r="C59" s="24" t="inlineStr">
        <is>
          <t>Kontrak Tahunan</t>
        </is>
      </c>
      <c r="D59" s="25" t="n">
        <v>37500000</v>
      </c>
    </row>
    <row r="60">
      <c r="A60" s="26" t="n">
        <v>46308</v>
      </c>
      <c r="B60" s="24" t="inlineStr">
        <is>
          <t>Rina Pratama</t>
        </is>
      </c>
      <c r="C60" s="24" t="inlineStr">
        <is>
          <t>Langganan</t>
        </is>
      </c>
      <c r="D60" s="25" t="n">
        <v>8100000</v>
      </c>
    </row>
    <row r="61">
      <c r="A61" s="26" t="n">
        <v>46308</v>
      </c>
      <c r="B61" s="24" t="inlineStr">
        <is>
          <t>Rina Pratama</t>
        </is>
      </c>
      <c r="C61" s="24" t="inlineStr">
        <is>
          <t>Langganan</t>
        </is>
      </c>
      <c r="D61" s="25" t="n">
        <v>27900000</v>
      </c>
    </row>
    <row r="62">
      <c r="A62" s="26" t="n">
        <v>46308</v>
      </c>
      <c r="B62" s="24" t="inlineStr">
        <is>
          <t>Maya Kusuma</t>
        </is>
      </c>
      <c r="C62" s="24" t="inlineStr">
        <is>
          <t>Proyek Khusus</t>
        </is>
      </c>
      <c r="D62" s="25" t="n">
        <v>2000000</v>
      </c>
    </row>
    <row r="63">
      <c r="A63" s="26" t="n">
        <v>46308</v>
      </c>
      <c r="B63" s="24" t="inlineStr">
        <is>
          <t>Maya Kusuma</t>
        </is>
      </c>
      <c r="C63" s="24" t="inlineStr">
        <is>
          <t>Proyek Khusus</t>
        </is>
      </c>
      <c r="D63" s="25" t="n">
        <v>53900000</v>
      </c>
    </row>
    <row r="64">
      <c r="A64" s="26" t="n">
        <v>46309</v>
      </c>
      <c r="B64" s="24" t="inlineStr">
        <is>
          <t>Rina Pratama</t>
        </is>
      </c>
      <c r="C64" s="24" t="inlineStr">
        <is>
          <t>Paket Retail</t>
        </is>
      </c>
      <c r="D64" s="25" t="n">
        <v>45100000</v>
      </c>
    </row>
    <row r="65">
      <c r="A65" s="26" t="n">
        <v>46309</v>
      </c>
      <c r="B65" s="24" t="inlineStr">
        <is>
          <t>Rina Pratama</t>
        </is>
      </c>
      <c r="C65" s="24" t="inlineStr">
        <is>
          <t>Langganan</t>
        </is>
      </c>
      <c r="D65" s="25" t="n">
        <v>3400000</v>
      </c>
    </row>
    <row r="66">
      <c r="A66" s="26" t="n">
        <v>46309</v>
      </c>
      <c r="B66" s="24" t="inlineStr">
        <is>
          <t>Maya Kusuma</t>
        </is>
      </c>
      <c r="C66" s="24" t="inlineStr">
        <is>
          <t>Langganan</t>
        </is>
      </c>
      <c r="D66" s="25" t="n">
        <v>13500000</v>
      </c>
    </row>
    <row r="67">
      <c r="A67" s="26" t="n">
        <v>46309</v>
      </c>
      <c r="B67" s="24" t="inlineStr">
        <is>
          <t>Maya Kusuma</t>
        </is>
      </c>
      <c r="C67" s="24" t="inlineStr">
        <is>
          <t>Paket Retail</t>
        </is>
      </c>
      <c r="D67" s="25" t="n">
        <v>77500000</v>
      </c>
    </row>
    <row r="68">
      <c r="A68" s="26" t="n">
        <v>46311</v>
      </c>
      <c r="B68" s="24" t="inlineStr">
        <is>
          <t>Bagas Nugroho</t>
        </is>
      </c>
      <c r="C68" s="24" t="inlineStr">
        <is>
          <t>Proyek Khusus</t>
        </is>
      </c>
      <c r="D68" s="25" t="n">
        <v>137200000</v>
      </c>
    </row>
    <row r="69">
      <c r="A69" s="26" t="n">
        <v>46313</v>
      </c>
      <c r="B69" s="24" t="inlineStr">
        <is>
          <t>Rina Pratama</t>
        </is>
      </c>
      <c r="C69" s="24" t="inlineStr">
        <is>
          <t>Reseller</t>
        </is>
      </c>
      <c r="D69" s="25" t="n">
        <v>19700000</v>
      </c>
    </row>
    <row r="70">
      <c r="A70" s="26" t="n">
        <v>46314</v>
      </c>
      <c r="B70" s="24" t="inlineStr">
        <is>
          <t>Sekar Wulandari</t>
        </is>
      </c>
      <c r="C70" s="24" t="inlineStr">
        <is>
          <t>Langganan</t>
        </is>
      </c>
      <c r="D70" s="25" t="n">
        <v>100000</v>
      </c>
    </row>
    <row r="71">
      <c r="A71" s="26" t="n">
        <v>46315</v>
      </c>
      <c r="B71" s="24" t="inlineStr">
        <is>
          <t>Sekar Wulandari</t>
        </is>
      </c>
      <c r="C71" s="24" t="inlineStr">
        <is>
          <t>Kontrak Tahunan</t>
        </is>
      </c>
      <c r="D71" s="25" t="n">
        <v>101500000</v>
      </c>
    </row>
    <row r="72">
      <c r="A72" s="26" t="n">
        <v>46315</v>
      </c>
      <c r="B72" s="24" t="inlineStr">
        <is>
          <t>Sekar Wulandari</t>
        </is>
      </c>
      <c r="C72" s="24" t="inlineStr">
        <is>
          <t>Paket Retail</t>
        </is>
      </c>
      <c r="D72" s="25" t="n">
        <v>76200000</v>
      </c>
    </row>
    <row r="73">
      <c r="A73" s="26" t="n">
        <v>46316</v>
      </c>
      <c r="B73" s="24" t="inlineStr">
        <is>
          <t>Bagas Nugroho</t>
        </is>
      </c>
      <c r="C73" s="24" t="inlineStr">
        <is>
          <t>Proyek Khusus</t>
        </is>
      </c>
      <c r="D73" s="25" t="n">
        <v>34300000</v>
      </c>
    </row>
    <row r="74">
      <c r="A74" s="26" t="n">
        <v>46317</v>
      </c>
      <c r="B74" s="24" t="inlineStr">
        <is>
          <t>Bagas Nugroho</t>
        </is>
      </c>
      <c r="C74" s="24" t="inlineStr">
        <is>
          <t>Proyek Khusus</t>
        </is>
      </c>
      <c r="D74" s="25" t="n">
        <v>41900000</v>
      </c>
    </row>
    <row r="75">
      <c r="A75" s="26" t="n">
        <v>46320</v>
      </c>
      <c r="B75" s="24" t="inlineStr">
        <is>
          <t>Sekar Wulandari</t>
        </is>
      </c>
      <c r="C75" s="24" t="inlineStr">
        <is>
          <t>Langganan</t>
        </is>
      </c>
      <c r="D75" s="25" t="n">
        <v>64600000</v>
      </c>
    </row>
    <row r="76">
      <c r="A76" s="26" t="n">
        <v>46321</v>
      </c>
      <c r="B76" s="24" t="inlineStr">
        <is>
          <t>Rina Pratama</t>
        </is>
      </c>
      <c r="C76" s="24" t="inlineStr">
        <is>
          <t>Langganan</t>
        </is>
      </c>
      <c r="D76" s="25" t="n">
        <v>21300000</v>
      </c>
    </row>
    <row r="77">
      <c r="A77" s="26" t="n">
        <v>46321</v>
      </c>
      <c r="B77" s="24" t="inlineStr">
        <is>
          <t>Dimas Anggoro</t>
        </is>
      </c>
      <c r="C77" s="24" t="inlineStr">
        <is>
          <t>Langganan</t>
        </is>
      </c>
      <c r="D77" s="25" t="n">
        <v>42200000</v>
      </c>
    </row>
    <row r="78">
      <c r="A78" s="26" t="n">
        <v>46323</v>
      </c>
      <c r="B78" s="24" t="inlineStr">
        <is>
          <t>Rina Pratama</t>
        </is>
      </c>
      <c r="C78" s="24" t="inlineStr">
        <is>
          <t>Paket Retail</t>
        </is>
      </c>
      <c r="D78" s="25" t="n">
        <v>16900000</v>
      </c>
    </row>
    <row r="79">
      <c r="A79" s="26" t="n">
        <v>46323</v>
      </c>
      <c r="B79" s="24" t="inlineStr">
        <is>
          <t>Maya Kusuma</t>
        </is>
      </c>
      <c r="C79" s="24" t="inlineStr">
        <is>
          <t>Kontrak Tahunan</t>
        </is>
      </c>
      <c r="D79" s="25" t="n">
        <v>64200000</v>
      </c>
    </row>
    <row r="80">
      <c r="A80" s="26" t="n">
        <v>46324</v>
      </c>
      <c r="B80" s="24" t="inlineStr">
        <is>
          <t>Rina Pratama</t>
        </is>
      </c>
      <c r="C80" s="24" t="inlineStr">
        <is>
          <t>Reseller</t>
        </is>
      </c>
      <c r="D80" s="25" t="n">
        <v>1200000</v>
      </c>
    </row>
    <row r="81">
      <c r="A81" s="26" t="n">
        <v>46324</v>
      </c>
      <c r="B81" s="24" t="inlineStr">
        <is>
          <t>Dimas Anggoro</t>
        </is>
      </c>
      <c r="C81" s="24" t="inlineStr">
        <is>
          <t>Langganan</t>
        </is>
      </c>
      <c r="D81" s="25" t="n">
        <v>7500000</v>
      </c>
    </row>
    <row r="82">
      <c r="A82" s="26" t="n">
        <v>46324</v>
      </c>
      <c r="B82" s="24" t="inlineStr">
        <is>
          <t>Maya Kusuma</t>
        </is>
      </c>
      <c r="C82" s="24" t="inlineStr">
        <is>
          <t>Langganan</t>
        </is>
      </c>
      <c r="D82" s="25" t="n">
        <v>8400000</v>
      </c>
    </row>
    <row r="83">
      <c r="A83" s="26" t="n">
        <v>46324</v>
      </c>
      <c r="B83" s="24" t="inlineStr">
        <is>
          <t>Maya Kusuma</t>
        </is>
      </c>
      <c r="C83" s="24" t="inlineStr">
        <is>
          <t>Kontrak Tahunan</t>
        </is>
      </c>
      <c r="D83" s="25" t="n">
        <v>81100000</v>
      </c>
    </row>
    <row r="84">
      <c r="A84" s="26" t="n">
        <v>46325</v>
      </c>
      <c r="B84" s="24" t="inlineStr">
        <is>
          <t>Dimas Anggoro</t>
        </is>
      </c>
      <c r="C84" s="24" t="inlineStr">
        <is>
          <t>Reseller</t>
        </is>
      </c>
      <c r="D84" s="25" t="n">
        <v>27500000</v>
      </c>
    </row>
    <row r="85">
      <c r="A85" s="26" t="n">
        <v>46325</v>
      </c>
      <c r="B85" s="24" t="inlineStr">
        <is>
          <t>Sekar Wulandari</t>
        </is>
      </c>
      <c r="C85" s="24" t="inlineStr">
        <is>
          <t>Paket Retail</t>
        </is>
      </c>
      <c r="D85" s="25" t="n">
        <v>3500000</v>
      </c>
    </row>
    <row r="86">
      <c r="A86" s="26" t="n">
        <v>46325</v>
      </c>
      <c r="B86" s="24" t="inlineStr">
        <is>
          <t>Bagas Nugroho</t>
        </is>
      </c>
      <c r="C86" s="24" t="inlineStr">
        <is>
          <t>Paket Retail</t>
        </is>
      </c>
      <c r="D86" s="25" t="n">
        <v>33800000</v>
      </c>
    </row>
    <row r="87">
      <c r="A87" s="26" t="n">
        <v>46326</v>
      </c>
      <c r="B87" s="24" t="inlineStr">
        <is>
          <t>Dimas Anggoro</t>
        </is>
      </c>
      <c r="C87" s="24" t="inlineStr">
        <is>
          <t>Reseller</t>
        </is>
      </c>
      <c r="D87" s="25" t="n">
        <v>54500000</v>
      </c>
    </row>
    <row r="88">
      <c r="A88" s="26" t="n"/>
      <c r="B88" s="24" t="n"/>
      <c r="C88" s="24" t="n"/>
      <c r="D88" s="25" t="n"/>
    </row>
    <row r="89">
      <c r="A89" s="26" t="n"/>
      <c r="B89" s="24" t="n"/>
      <c r="C89" s="24" t="n"/>
      <c r="D89" s="25" t="n"/>
    </row>
    <row r="90">
      <c r="A90" s="26" t="n"/>
      <c r="B90" s="24" t="n"/>
      <c r="C90" s="24" t="n"/>
      <c r="D90" s="25" t="n"/>
    </row>
    <row r="91">
      <c r="A91" s="26" t="n"/>
      <c r="B91" s="24" t="n"/>
      <c r="C91" s="24" t="n"/>
      <c r="D91" s="25" t="n"/>
    </row>
    <row r="92">
      <c r="A92" s="26" t="n"/>
      <c r="B92" s="24" t="n"/>
      <c r="C92" s="24" t="n"/>
      <c r="D92" s="25" t="n"/>
    </row>
    <row r="93">
      <c r="A93" s="26" t="n"/>
      <c r="B93" s="24" t="n"/>
      <c r="C93" s="24" t="n"/>
      <c r="D93" s="25" t="n"/>
    </row>
    <row r="94">
      <c r="A94" s="26" t="n"/>
      <c r="B94" s="24" t="n"/>
      <c r="C94" s="24" t="n"/>
      <c r="D94" s="25" t="n"/>
    </row>
    <row r="95">
      <c r="A95" s="26" t="n"/>
      <c r="B95" s="24" t="n"/>
      <c r="C95" s="24" t="n"/>
      <c r="D95" s="25" t="n"/>
    </row>
    <row r="96">
      <c r="A96" s="26" t="n"/>
      <c r="B96" s="24" t="n"/>
      <c r="C96" s="24" t="n"/>
      <c r="D96" s="25" t="n"/>
    </row>
    <row r="97">
      <c r="A97" s="26" t="n"/>
      <c r="B97" s="24" t="n"/>
      <c r="C97" s="24" t="n"/>
      <c r="D97" s="25" t="n"/>
    </row>
    <row r="98">
      <c r="A98" s="26" t="n"/>
      <c r="B98" s="24" t="n"/>
      <c r="C98" s="24" t="n"/>
      <c r="D98" s="25" t="n"/>
    </row>
    <row r="99">
      <c r="A99" s="26" t="n"/>
      <c r="B99" s="24" t="n"/>
      <c r="C99" s="24" t="n"/>
      <c r="D99" s="25" t="n"/>
    </row>
    <row r="100">
      <c r="A100" s="26" t="n"/>
      <c r="B100" s="24" t="n"/>
      <c r="C100" s="24" t="n"/>
      <c r="D100" s="25" t="n"/>
    </row>
    <row r="101">
      <c r="A101" s="26" t="n"/>
      <c r="B101" s="24" t="n"/>
      <c r="C101" s="24" t="n"/>
      <c r="D101" s="25" t="n"/>
    </row>
    <row r="102">
      <c r="A102" s="26" t="n"/>
      <c r="B102" s="24" t="n"/>
      <c r="C102" s="24" t="n"/>
      <c r="D102" s="25" t="n"/>
    </row>
    <row r="103">
      <c r="A103" s="26" t="n"/>
      <c r="B103" s="24" t="n"/>
      <c r="C103" s="24" t="n"/>
      <c r="D103" s="25" t="n"/>
    </row>
    <row r="104">
      <c r="A104" s="26" t="n"/>
      <c r="B104" s="24" t="n"/>
      <c r="C104" s="24" t="n"/>
      <c r="D104" s="25" t="n"/>
    </row>
    <row r="105">
      <c r="A105" s="26" t="n"/>
      <c r="B105" s="24" t="n"/>
      <c r="C105" s="24" t="n"/>
      <c r="D105" s="25" t="n"/>
    </row>
    <row r="106">
      <c r="A106" s="26" t="n"/>
      <c r="B106" s="24" t="n"/>
      <c r="C106" s="24" t="n"/>
      <c r="D106" s="25" t="n"/>
    </row>
    <row r="107">
      <c r="A107" s="26" t="n"/>
      <c r="B107" s="24" t="n"/>
      <c r="C107" s="24" t="n"/>
      <c r="D107" s="25" t="n"/>
    </row>
    <row r="108">
      <c r="A108" s="26" t="n"/>
      <c r="B108" s="24" t="n"/>
      <c r="C108" s="24" t="n"/>
      <c r="D108" s="25" t="n"/>
    </row>
    <row r="109">
      <c r="A109" s="26" t="n"/>
      <c r="B109" s="24" t="n"/>
      <c r="C109" s="24" t="n"/>
      <c r="D109" s="25" t="n"/>
    </row>
    <row r="110">
      <c r="A110" s="26" t="n"/>
      <c r="B110" s="24" t="n"/>
      <c r="C110" s="24" t="n"/>
      <c r="D110" s="25" t="n"/>
    </row>
    <row r="111">
      <c r="A111" s="26" t="n"/>
      <c r="B111" s="24" t="n"/>
      <c r="C111" s="24" t="n"/>
      <c r="D111" s="25" t="n"/>
    </row>
    <row r="112">
      <c r="A112" s="26" t="n"/>
      <c r="B112" s="24" t="n"/>
      <c r="C112" s="24" t="n"/>
      <c r="D112" s="25" t="n"/>
    </row>
    <row r="113">
      <c r="A113" s="26" t="n"/>
      <c r="B113" s="24" t="n"/>
      <c r="C113" s="24" t="n"/>
      <c r="D113" s="25" t="n"/>
    </row>
    <row r="114">
      <c r="A114" s="26" t="n"/>
      <c r="B114" s="24" t="n"/>
      <c r="C114" s="24" t="n"/>
      <c r="D114" s="25" t="n"/>
    </row>
    <row r="115">
      <c r="A115" s="26" t="n"/>
      <c r="B115" s="24" t="n"/>
      <c r="C115" s="24" t="n"/>
      <c r="D115" s="25" t="n"/>
    </row>
    <row r="116">
      <c r="A116" s="26" t="n"/>
      <c r="B116" s="24" t="n"/>
      <c r="C116" s="24" t="n"/>
      <c r="D116" s="25" t="n"/>
    </row>
    <row r="117">
      <c r="A117" s="26" t="n"/>
      <c r="B117" s="24" t="n"/>
      <c r="C117" s="24" t="n"/>
      <c r="D117" s="25" t="n"/>
    </row>
    <row r="118">
      <c r="A118" s="26" t="n"/>
      <c r="B118" s="24" t="n"/>
      <c r="C118" s="24" t="n"/>
      <c r="D118" s="25" t="n"/>
    </row>
    <row r="119">
      <c r="A119" s="26" t="n"/>
      <c r="B119" s="24" t="n"/>
      <c r="C119" s="24" t="n"/>
      <c r="D119" s="25" t="n"/>
    </row>
    <row r="120">
      <c r="A120" s="26" t="n"/>
      <c r="B120" s="24" t="n"/>
      <c r="C120" s="24" t="n"/>
      <c r="D120" s="25" t="n"/>
    </row>
    <row r="121">
      <c r="A121" s="26" t="n"/>
      <c r="B121" s="24" t="n"/>
      <c r="C121" s="24" t="n"/>
      <c r="D121" s="25" t="n"/>
    </row>
    <row r="122">
      <c r="A122" s="26" t="n"/>
      <c r="B122" s="24" t="n"/>
      <c r="C122" s="24" t="n"/>
      <c r="D122" s="25" t="n"/>
    </row>
    <row r="123">
      <c r="A123" s="26" t="n"/>
      <c r="B123" s="24" t="n"/>
      <c r="C123" s="24" t="n"/>
      <c r="D123" s="25" t="n"/>
    </row>
    <row r="124">
      <c r="A124" s="26" t="n"/>
      <c r="B124" s="24" t="n"/>
      <c r="C124" s="24" t="n"/>
      <c r="D124" s="25" t="n"/>
    </row>
    <row r="125">
      <c r="A125" s="26" t="n"/>
      <c r="B125" s="24" t="n"/>
      <c r="C125" s="24" t="n"/>
      <c r="D125" s="25" t="n"/>
    </row>
    <row r="126">
      <c r="A126" s="26" t="n"/>
      <c r="B126" s="24" t="n"/>
      <c r="C126" s="24" t="n"/>
      <c r="D126" s="25" t="n"/>
    </row>
    <row r="127">
      <c r="A127" s="26" t="n"/>
      <c r="B127" s="24" t="n"/>
      <c r="C127" s="24" t="n"/>
      <c r="D127" s="25" t="n"/>
    </row>
    <row r="128">
      <c r="A128" s="26" t="n"/>
      <c r="B128" s="24" t="n"/>
      <c r="C128" s="24" t="n"/>
      <c r="D128" s="25" t="n"/>
    </row>
    <row r="129">
      <c r="A129" s="26" t="n"/>
      <c r="B129" s="24" t="n"/>
      <c r="C129" s="24" t="n"/>
      <c r="D129" s="25" t="n"/>
    </row>
    <row r="130">
      <c r="A130" s="26" t="n"/>
      <c r="B130" s="24" t="n"/>
      <c r="C130" s="24" t="n"/>
      <c r="D130" s="25" t="n"/>
    </row>
    <row r="131">
      <c r="A131" s="26" t="n"/>
      <c r="B131" s="24" t="n"/>
      <c r="C131" s="24" t="n"/>
      <c r="D131" s="25" t="n"/>
    </row>
    <row r="132">
      <c r="A132" s="26" t="n"/>
      <c r="B132" s="24" t="n"/>
      <c r="C132" s="24" t="n"/>
      <c r="D132" s="25" t="n"/>
    </row>
    <row r="133">
      <c r="A133" s="26" t="n"/>
      <c r="B133" s="24" t="n"/>
      <c r="C133" s="24" t="n"/>
      <c r="D133" s="25" t="n"/>
    </row>
    <row r="134">
      <c r="A134" s="26" t="n"/>
      <c r="B134" s="24" t="n"/>
      <c r="C134" s="24" t="n"/>
      <c r="D134" s="25" t="n"/>
    </row>
    <row r="135">
      <c r="A135" s="26" t="n"/>
      <c r="B135" s="24" t="n"/>
      <c r="C135" s="24" t="n"/>
      <c r="D135" s="25" t="n"/>
    </row>
    <row r="136">
      <c r="A136" s="26" t="n"/>
      <c r="B136" s="24" t="n"/>
      <c r="C136" s="24" t="n"/>
      <c r="D136" s="25" t="n"/>
    </row>
    <row r="137">
      <c r="A137" s="26" t="n"/>
      <c r="B137" s="24" t="n"/>
      <c r="C137" s="24" t="n"/>
      <c r="D137" s="25" t="n"/>
    </row>
    <row r="138">
      <c r="A138" s="26" t="n"/>
      <c r="B138" s="24" t="n"/>
      <c r="C138" s="24" t="n"/>
      <c r="D138" s="25" t="n"/>
    </row>
    <row r="139">
      <c r="A139" s="26" t="n"/>
      <c r="B139" s="24" t="n"/>
      <c r="C139" s="24" t="n"/>
      <c r="D139" s="25" t="n"/>
    </row>
    <row r="140">
      <c r="A140" s="26" t="n"/>
      <c r="B140" s="24" t="n"/>
      <c r="C140" s="24" t="n"/>
      <c r="D140" s="25" t="n"/>
    </row>
    <row r="141">
      <c r="A141" s="26" t="n"/>
      <c r="B141" s="24" t="n"/>
      <c r="C141" s="24" t="n"/>
      <c r="D141" s="25" t="n"/>
    </row>
    <row r="142">
      <c r="A142" s="26" t="n"/>
      <c r="B142" s="24" t="n"/>
      <c r="C142" s="24" t="n"/>
      <c r="D142" s="25" t="n"/>
    </row>
    <row r="143">
      <c r="A143" s="26" t="n"/>
      <c r="B143" s="24" t="n"/>
      <c r="C143" s="24" t="n"/>
      <c r="D143" s="25" t="n"/>
    </row>
    <row r="144">
      <c r="A144" s="26" t="n"/>
      <c r="B144" s="24" t="n"/>
      <c r="C144" s="24" t="n"/>
      <c r="D144" s="25" t="n"/>
    </row>
    <row r="145">
      <c r="A145" s="26" t="n"/>
      <c r="B145" s="24" t="n"/>
      <c r="C145" s="24" t="n"/>
      <c r="D145" s="25" t="n"/>
    </row>
    <row r="146">
      <c r="A146" s="26" t="n"/>
      <c r="B146" s="24" t="n"/>
      <c r="C146" s="24" t="n"/>
      <c r="D146" s="25" t="n"/>
    </row>
    <row r="147">
      <c r="A147" s="26" t="n"/>
      <c r="B147" s="24" t="n"/>
      <c r="C147" s="24" t="n"/>
      <c r="D147" s="25" t="n"/>
    </row>
    <row r="148">
      <c r="A148" s="26" t="n"/>
      <c r="B148" s="24" t="n"/>
      <c r="C148" s="24" t="n"/>
      <c r="D148" s="25" t="n"/>
    </row>
    <row r="149">
      <c r="A149" s="26" t="n"/>
      <c r="B149" s="24" t="n"/>
      <c r="C149" s="24" t="n"/>
      <c r="D149" s="25" t="n"/>
    </row>
    <row r="150">
      <c r="A150" s="26" t="n"/>
      <c r="B150" s="24" t="n"/>
      <c r="C150" s="24" t="n"/>
      <c r="D150" s="25" t="n"/>
    </row>
    <row r="151">
      <c r="A151" s="26" t="n"/>
      <c r="B151" s="24" t="n"/>
      <c r="C151" s="24" t="n"/>
      <c r="D151" s="25" t="n"/>
    </row>
    <row r="152">
      <c r="A152" s="26" t="n"/>
      <c r="B152" s="24" t="n"/>
      <c r="C152" s="24" t="n"/>
      <c r="D152" s="25" t="n"/>
    </row>
    <row r="153">
      <c r="A153" s="26" t="n"/>
      <c r="B153" s="24" t="n"/>
      <c r="C153" s="24" t="n"/>
      <c r="D153" s="25" t="n"/>
    </row>
    <row r="154">
      <c r="A154" s="26" t="n"/>
      <c r="B154" s="24" t="n"/>
      <c r="C154" s="24" t="n"/>
      <c r="D154" s="25" t="n"/>
    </row>
    <row r="155">
      <c r="A155" s="26" t="n"/>
      <c r="B155" s="24" t="n"/>
      <c r="C155" s="24" t="n"/>
      <c r="D155" s="25" t="n"/>
    </row>
    <row r="156">
      <c r="A156" s="26" t="n"/>
      <c r="B156" s="24" t="n"/>
      <c r="C156" s="24" t="n"/>
      <c r="D156" s="25" t="n"/>
    </row>
    <row r="157">
      <c r="A157" s="26" t="n"/>
      <c r="B157" s="24" t="n"/>
      <c r="C157" s="24" t="n"/>
      <c r="D157" s="25" t="n"/>
    </row>
    <row r="158">
      <c r="A158" s="26" t="n"/>
      <c r="B158" s="24" t="n"/>
      <c r="C158" s="24" t="n"/>
      <c r="D158" s="25" t="n"/>
    </row>
    <row r="159">
      <c r="A159" s="26" t="n"/>
      <c r="B159" s="24" t="n"/>
      <c r="C159" s="24" t="n"/>
      <c r="D159" s="25" t="n"/>
    </row>
    <row r="160">
      <c r="A160" s="26" t="n"/>
      <c r="B160" s="24" t="n"/>
      <c r="C160" s="24" t="n"/>
      <c r="D160" s="25" t="n"/>
    </row>
    <row r="161">
      <c r="A161" s="26" t="n"/>
      <c r="B161" s="24" t="n"/>
      <c r="C161" s="24" t="n"/>
      <c r="D161" s="25" t="n"/>
    </row>
    <row r="162">
      <c r="A162" s="26" t="n"/>
      <c r="B162" s="24" t="n"/>
      <c r="C162" s="24" t="n"/>
      <c r="D162" s="25" t="n"/>
    </row>
    <row r="163">
      <c r="A163" s="26" t="n"/>
      <c r="B163" s="24" t="n"/>
      <c r="C163" s="24" t="n"/>
      <c r="D163" s="25" t="n"/>
    </row>
    <row r="164">
      <c r="A164" s="26" t="n"/>
      <c r="B164" s="24" t="n"/>
      <c r="C164" s="24" t="n"/>
      <c r="D164" s="25" t="n"/>
    </row>
    <row r="165">
      <c r="A165" s="26" t="n"/>
      <c r="B165" s="24" t="n"/>
      <c r="C165" s="24" t="n"/>
      <c r="D165" s="25" t="n"/>
    </row>
    <row r="166">
      <c r="A166" s="26" t="n"/>
      <c r="B166" s="24" t="n"/>
      <c r="C166" s="24" t="n"/>
      <c r="D166" s="25" t="n"/>
    </row>
    <row r="167">
      <c r="A167" s="26" t="n"/>
      <c r="B167" s="24" t="n"/>
      <c r="C167" s="24" t="n"/>
      <c r="D167" s="25" t="n"/>
    </row>
    <row r="168">
      <c r="A168" s="26" t="n"/>
      <c r="B168" s="24" t="n"/>
      <c r="C168" s="24" t="n"/>
      <c r="D168" s="25" t="n"/>
    </row>
    <row r="169">
      <c r="A169" s="26" t="n"/>
      <c r="B169" s="24" t="n"/>
      <c r="C169" s="24" t="n"/>
      <c r="D169" s="25" t="n"/>
    </row>
    <row r="170">
      <c r="A170" s="26" t="n"/>
      <c r="B170" s="24" t="n"/>
      <c r="C170" s="24" t="n"/>
      <c r="D170" s="25" t="n"/>
    </row>
    <row r="171">
      <c r="A171" s="26" t="n"/>
      <c r="B171" s="24" t="n"/>
      <c r="C171" s="24" t="n"/>
      <c r="D171" s="25" t="n"/>
    </row>
    <row r="172">
      <c r="A172" s="26" t="n"/>
      <c r="B172" s="24" t="n"/>
      <c r="C172" s="24" t="n"/>
      <c r="D172" s="25" t="n"/>
    </row>
    <row r="173">
      <c r="A173" s="26" t="n"/>
      <c r="B173" s="24" t="n"/>
      <c r="C173" s="24" t="n"/>
      <c r="D173" s="25" t="n"/>
    </row>
    <row r="174">
      <c r="A174" s="26" t="n"/>
      <c r="B174" s="24" t="n"/>
      <c r="C174" s="24" t="n"/>
      <c r="D174" s="25" t="n"/>
    </row>
    <row r="175">
      <c r="A175" s="26" t="n"/>
      <c r="B175" s="24" t="n"/>
      <c r="C175" s="24" t="n"/>
      <c r="D175" s="25" t="n"/>
    </row>
    <row r="176">
      <c r="A176" s="26" t="n"/>
      <c r="B176" s="24" t="n"/>
      <c r="C176" s="24" t="n"/>
      <c r="D176" s="25" t="n"/>
    </row>
    <row r="177">
      <c r="A177" s="26" t="n"/>
      <c r="B177" s="24" t="n"/>
      <c r="C177" s="24" t="n"/>
      <c r="D177" s="25" t="n"/>
    </row>
    <row r="178">
      <c r="A178" s="26" t="n"/>
      <c r="B178" s="24" t="n"/>
      <c r="C178" s="24" t="n"/>
      <c r="D178" s="25" t="n"/>
    </row>
    <row r="179">
      <c r="A179" s="26" t="n"/>
      <c r="B179" s="24" t="n"/>
      <c r="C179" s="24" t="n"/>
      <c r="D179" s="25" t="n"/>
    </row>
    <row r="180">
      <c r="A180" s="26" t="n"/>
      <c r="B180" s="24" t="n"/>
      <c r="C180" s="24" t="n"/>
      <c r="D180" s="25" t="n"/>
    </row>
    <row r="181">
      <c r="A181" s="26" t="n"/>
      <c r="B181" s="24" t="n"/>
      <c r="C181" s="24" t="n"/>
      <c r="D181" s="25" t="n"/>
    </row>
    <row r="182">
      <c r="A182" s="26" t="n"/>
      <c r="B182" s="24" t="n"/>
      <c r="C182" s="24" t="n"/>
      <c r="D182" s="25" t="n"/>
    </row>
    <row r="183">
      <c r="A183" s="26" t="n"/>
      <c r="B183" s="24" t="n"/>
      <c r="C183" s="24" t="n"/>
      <c r="D183" s="25" t="n"/>
    </row>
    <row r="184">
      <c r="A184" s="26" t="n"/>
      <c r="B184" s="24" t="n"/>
      <c r="C184" s="24" t="n"/>
      <c r="D184" s="25" t="n"/>
    </row>
    <row r="185">
      <c r="A185" s="26" t="n"/>
      <c r="B185" s="24" t="n"/>
      <c r="C185" s="24" t="n"/>
      <c r="D185" s="25" t="n"/>
    </row>
    <row r="186">
      <c r="A186" s="26" t="n"/>
      <c r="B186" s="24" t="n"/>
      <c r="C186" s="24" t="n"/>
      <c r="D186" s="25" t="n"/>
    </row>
    <row r="187">
      <c r="A187" s="26" t="n"/>
      <c r="B187" s="24" t="n"/>
      <c r="C187" s="24" t="n"/>
      <c r="D187" s="25" t="n"/>
    </row>
    <row r="188">
      <c r="A188" s="26" t="n"/>
      <c r="B188" s="24" t="n"/>
      <c r="C188" s="24" t="n"/>
      <c r="D188" s="25" t="n"/>
    </row>
    <row r="189">
      <c r="A189" s="26" t="n"/>
      <c r="B189" s="24" t="n"/>
      <c r="C189" s="24" t="n"/>
      <c r="D189" s="25" t="n"/>
    </row>
    <row r="190">
      <c r="A190" s="26" t="n"/>
      <c r="B190" s="24" t="n"/>
      <c r="C190" s="24" t="n"/>
      <c r="D190" s="25" t="n"/>
    </row>
    <row r="191">
      <c r="A191" s="26" t="n"/>
      <c r="B191" s="24" t="n"/>
      <c r="C191" s="24" t="n"/>
      <c r="D191" s="25" t="n"/>
    </row>
    <row r="192">
      <c r="A192" s="26" t="n"/>
      <c r="B192" s="24" t="n"/>
      <c r="C192" s="24" t="n"/>
      <c r="D192" s="25" t="n"/>
    </row>
    <row r="193">
      <c r="A193" s="26" t="n"/>
      <c r="B193" s="24" t="n"/>
      <c r="C193" s="24" t="n"/>
      <c r="D193" s="25" t="n"/>
    </row>
    <row r="194">
      <c r="A194" s="26" t="n"/>
      <c r="B194" s="24" t="n"/>
      <c r="C194" s="24" t="n"/>
      <c r="D194" s="25" t="n"/>
    </row>
    <row r="195">
      <c r="A195" s="26" t="n"/>
      <c r="B195" s="24" t="n"/>
      <c r="C195" s="24" t="n"/>
      <c r="D195" s="25" t="n"/>
    </row>
    <row r="196">
      <c r="A196" s="26" t="n"/>
      <c r="B196" s="24" t="n"/>
      <c r="C196" s="24" t="n"/>
      <c r="D196" s="25" t="n"/>
    </row>
    <row r="197">
      <c r="A197" s="26" t="n"/>
      <c r="B197" s="24" t="n"/>
      <c r="C197" s="24" t="n"/>
      <c r="D197" s="25" t="n"/>
    </row>
    <row r="198">
      <c r="A198" s="26" t="n"/>
      <c r="B198" s="24" t="n"/>
      <c r="C198" s="24" t="n"/>
      <c r="D198" s="25" t="n"/>
    </row>
    <row r="199">
      <c r="A199" s="26" t="n"/>
      <c r="B199" s="24" t="n"/>
      <c r="C199" s="24" t="n"/>
      <c r="D199" s="25" t="n"/>
    </row>
    <row r="200">
      <c r="A200" s="26" t="n"/>
      <c r="B200" s="24" t="n"/>
      <c r="C200" s="24" t="n"/>
      <c r="D200" s="25" t="n"/>
    </row>
    <row r="201">
      <c r="A201" s="26" t="n"/>
      <c r="B201" s="24" t="n"/>
      <c r="C201" s="24" t="n"/>
      <c r="D201" s="25" t="n"/>
    </row>
    <row r="202">
      <c r="A202" s="26" t="n"/>
      <c r="B202" s="24" t="n"/>
      <c r="C202" s="24" t="n"/>
      <c r="D202" s="25" t="n"/>
    </row>
    <row r="203">
      <c r="A203" s="26" t="n"/>
      <c r="B203" s="24" t="n"/>
      <c r="C203" s="24" t="n"/>
      <c r="D203" s="25" t="n"/>
    </row>
    <row r="204">
      <c r="A204" s="26" t="n"/>
      <c r="B204" s="24" t="n"/>
      <c r="C204" s="24" t="n"/>
      <c r="D204" s="25" t="n"/>
    </row>
    <row r="205">
      <c r="A205" s="26" t="n"/>
      <c r="B205" s="24" t="n"/>
      <c r="C205" s="24" t="n"/>
      <c r="D205" s="25" t="n"/>
    </row>
    <row r="206">
      <c r="A206" s="26" t="n"/>
      <c r="B206" s="24" t="n"/>
      <c r="C206" s="24" t="n"/>
      <c r="D206" s="25" t="n"/>
    </row>
    <row r="207">
      <c r="A207" s="26" t="n"/>
      <c r="B207" s="24" t="n"/>
      <c r="C207" s="24" t="n"/>
      <c r="D207" s="25" t="n"/>
    </row>
    <row r="208">
      <c r="A208" s="26" t="n"/>
      <c r="B208" s="24" t="n"/>
      <c r="C208" s="24" t="n"/>
      <c r="D208" s="25" t="n"/>
    </row>
    <row r="209">
      <c r="A209" s="26" t="n"/>
      <c r="B209" s="24" t="n"/>
      <c r="C209" s="24" t="n"/>
      <c r="D209" s="25" t="n"/>
    </row>
    <row r="210">
      <c r="A210" s="26" t="n"/>
      <c r="B210" s="24" t="n"/>
      <c r="C210" s="24" t="n"/>
      <c r="D210" s="25" t="n"/>
    </row>
    <row r="211">
      <c r="A211" s="26" t="n"/>
      <c r="B211" s="24" t="n"/>
      <c r="C211" s="24" t="n"/>
      <c r="D211" s="25" t="n"/>
    </row>
    <row r="212">
      <c r="A212" s="26" t="n"/>
      <c r="B212" s="24" t="n"/>
      <c r="C212" s="24" t="n"/>
      <c r="D212" s="25" t="n"/>
    </row>
    <row r="213">
      <c r="A213" s="26" t="n"/>
      <c r="B213" s="24" t="n"/>
      <c r="C213" s="24" t="n"/>
      <c r="D213" s="25" t="n"/>
    </row>
    <row r="214">
      <c r="A214" s="26" t="n"/>
      <c r="B214" s="24" t="n"/>
      <c r="C214" s="24" t="n"/>
      <c r="D214" s="25" t="n"/>
    </row>
    <row r="215">
      <c r="A215" s="26" t="n"/>
      <c r="B215" s="24" t="n"/>
      <c r="C215" s="24" t="n"/>
      <c r="D215" s="25" t="n"/>
    </row>
    <row r="216">
      <c r="A216" s="26" t="n"/>
      <c r="B216" s="24" t="n"/>
      <c r="C216" s="24" t="n"/>
      <c r="D216" s="25" t="n"/>
    </row>
    <row r="217">
      <c r="A217" s="26" t="n"/>
      <c r="B217" s="24" t="n"/>
      <c r="C217" s="24" t="n"/>
      <c r="D217" s="25" t="n"/>
    </row>
    <row r="218">
      <c r="A218" s="26" t="n"/>
      <c r="B218" s="24" t="n"/>
      <c r="C218" s="24" t="n"/>
      <c r="D218" s="25" t="n"/>
    </row>
    <row r="219">
      <c r="A219" s="26" t="n"/>
      <c r="B219" s="24" t="n"/>
      <c r="C219" s="24" t="n"/>
      <c r="D219" s="25" t="n"/>
    </row>
    <row r="220">
      <c r="A220" s="26" t="n"/>
      <c r="B220" s="24" t="n"/>
      <c r="C220" s="24" t="n"/>
      <c r="D220" s="25" t="n"/>
    </row>
    <row r="221">
      <c r="A221" s="26" t="n"/>
      <c r="B221" s="24" t="n"/>
      <c r="C221" s="24" t="n"/>
      <c r="D221" s="25" t="n"/>
    </row>
    <row r="222">
      <c r="A222" s="26" t="n"/>
      <c r="B222" s="24" t="n"/>
      <c r="C222" s="24" t="n"/>
      <c r="D222" s="25" t="n"/>
    </row>
    <row r="223">
      <c r="A223" s="26" t="n"/>
      <c r="B223" s="24" t="n"/>
      <c r="C223" s="24" t="n"/>
      <c r="D223" s="25" t="n"/>
    </row>
    <row r="224">
      <c r="A224" s="26" t="n"/>
      <c r="B224" s="24" t="n"/>
      <c r="C224" s="24" t="n"/>
      <c r="D224" s="25" t="n"/>
    </row>
    <row r="225">
      <c r="A225" s="26" t="n"/>
      <c r="B225" s="24" t="n"/>
      <c r="C225" s="24" t="n"/>
      <c r="D225" s="25" t="n"/>
    </row>
    <row r="226">
      <c r="A226" s="26" t="n"/>
      <c r="B226" s="24" t="n"/>
      <c r="C226" s="24" t="n"/>
      <c r="D226" s="25" t="n"/>
    </row>
    <row r="227">
      <c r="A227" s="26" t="n"/>
      <c r="B227" s="24" t="n"/>
      <c r="C227" s="24" t="n"/>
      <c r="D227" s="25" t="n"/>
    </row>
    <row r="228">
      <c r="A228" s="26" t="n"/>
      <c r="B228" s="24" t="n"/>
      <c r="C228" s="24" t="n"/>
      <c r="D228" s="25" t="n"/>
    </row>
    <row r="229">
      <c r="A229" s="26" t="n"/>
      <c r="B229" s="24" t="n"/>
      <c r="C229" s="24" t="n"/>
      <c r="D229" s="25" t="n"/>
    </row>
    <row r="230">
      <c r="A230" s="26" t="n"/>
      <c r="B230" s="24" t="n"/>
      <c r="C230" s="24" t="n"/>
      <c r="D230" s="25" t="n"/>
    </row>
    <row r="231">
      <c r="A231" s="26" t="n"/>
      <c r="B231" s="24" t="n"/>
      <c r="C231" s="24" t="n"/>
      <c r="D231" s="25" t="n"/>
    </row>
    <row r="232">
      <c r="A232" s="26" t="n"/>
      <c r="B232" s="24" t="n"/>
      <c r="C232" s="24" t="n"/>
      <c r="D232" s="25" t="n"/>
    </row>
    <row r="233">
      <c r="A233" s="26" t="n"/>
      <c r="B233" s="24" t="n"/>
      <c r="C233" s="24" t="n"/>
      <c r="D233" s="25" t="n"/>
    </row>
    <row r="234">
      <c r="A234" s="26" t="n"/>
      <c r="B234" s="24" t="n"/>
      <c r="C234" s="24" t="n"/>
      <c r="D234" s="25" t="n"/>
    </row>
    <row r="235">
      <c r="A235" s="26" t="n"/>
      <c r="B235" s="24" t="n"/>
      <c r="C235" s="24" t="n"/>
      <c r="D235" s="25" t="n"/>
    </row>
    <row r="236">
      <c r="A236" s="26" t="n"/>
      <c r="B236" s="24" t="n"/>
      <c r="C236" s="24" t="n"/>
      <c r="D236" s="25" t="n"/>
    </row>
    <row r="237">
      <c r="A237" s="26" t="n"/>
      <c r="B237" s="24" t="n"/>
      <c r="C237" s="24" t="n"/>
      <c r="D237" s="25" t="n"/>
    </row>
    <row r="238">
      <c r="A238" s="26" t="n"/>
      <c r="B238" s="24" t="n"/>
      <c r="C238" s="24" t="n"/>
      <c r="D238" s="25" t="n"/>
    </row>
    <row r="239">
      <c r="A239" s="26" t="n"/>
      <c r="B239" s="24" t="n"/>
      <c r="C239" s="24" t="n"/>
      <c r="D239" s="25" t="n"/>
    </row>
    <row r="240">
      <c r="A240" s="26" t="n"/>
      <c r="B240" s="24" t="n"/>
      <c r="C240" s="24" t="n"/>
      <c r="D240" s="25" t="n"/>
    </row>
    <row r="241">
      <c r="A241" s="26" t="n"/>
      <c r="B241" s="24" t="n"/>
      <c r="C241" s="24" t="n"/>
      <c r="D241" s="25" t="n"/>
    </row>
    <row r="242">
      <c r="A242" s="26" t="n"/>
      <c r="B242" s="24" t="n"/>
      <c r="C242" s="24" t="n"/>
      <c r="D242" s="25" t="n"/>
    </row>
    <row r="243">
      <c r="A243" s="26" t="n"/>
      <c r="B243" s="24" t="n"/>
      <c r="C243" s="24" t="n"/>
      <c r="D243" s="25" t="n"/>
    </row>
    <row r="244">
      <c r="A244" s="26" t="n"/>
      <c r="B244" s="24" t="n"/>
      <c r="C244" s="24" t="n"/>
      <c r="D244" s="25" t="n"/>
    </row>
    <row r="245">
      <c r="A245" s="26" t="n"/>
      <c r="B245" s="24" t="n"/>
      <c r="C245" s="24" t="n"/>
      <c r="D245" s="25" t="n"/>
    </row>
    <row r="246">
      <c r="A246" s="26" t="n"/>
      <c r="B246" s="24" t="n"/>
      <c r="C246" s="24" t="n"/>
      <c r="D246" s="25" t="n"/>
    </row>
    <row r="247">
      <c r="A247" s="26" t="n"/>
      <c r="B247" s="24" t="n"/>
      <c r="C247" s="24" t="n"/>
      <c r="D247" s="25" t="n"/>
    </row>
    <row r="248">
      <c r="A248" s="26" t="n"/>
      <c r="B248" s="24" t="n"/>
      <c r="C248" s="24" t="n"/>
      <c r="D248" s="25" t="n"/>
    </row>
    <row r="249">
      <c r="A249" s="26" t="n"/>
      <c r="B249" s="24" t="n"/>
      <c r="C249" s="24" t="n"/>
      <c r="D249" s="25" t="n"/>
    </row>
    <row r="250">
      <c r="A250" s="26" t="n"/>
      <c r="B250" s="24" t="n"/>
      <c r="C250" s="24" t="n"/>
      <c r="D250" s="25" t="n"/>
    </row>
    <row r="251">
      <c r="A251" s="26" t="n"/>
      <c r="B251" s="24" t="n"/>
      <c r="C251" s="24" t="n"/>
      <c r="D251" s="25" t="n"/>
    </row>
    <row r="252">
      <c r="A252" s="26" t="n"/>
      <c r="B252" s="24" t="n"/>
      <c r="C252" s="24" t="n"/>
      <c r="D252" s="25" t="n"/>
    </row>
    <row r="253">
      <c r="A253" s="26" t="n"/>
      <c r="B253" s="24" t="n"/>
      <c r="C253" s="24" t="n"/>
      <c r="D253" s="25" t="n"/>
    </row>
    <row r="254">
      <c r="A254" s="26" t="n"/>
      <c r="B254" s="24" t="n"/>
      <c r="C254" s="24" t="n"/>
      <c r="D254" s="25" t="n"/>
    </row>
    <row r="255">
      <c r="A255" s="26" t="n"/>
      <c r="B255" s="24" t="n"/>
      <c r="C255" s="24" t="n"/>
      <c r="D255" s="25" t="n"/>
    </row>
    <row r="256">
      <c r="A256" s="26" t="n"/>
      <c r="B256" s="24" t="n"/>
      <c r="C256" s="24" t="n"/>
      <c r="D256" s="25" t="n"/>
    </row>
    <row r="257">
      <c r="A257" s="26" t="n"/>
      <c r="B257" s="24" t="n"/>
      <c r="C257" s="24" t="n"/>
      <c r="D257" s="25" t="n"/>
    </row>
    <row r="258">
      <c r="A258" s="26" t="n"/>
      <c r="B258" s="24" t="n"/>
      <c r="C258" s="24" t="n"/>
      <c r="D258" s="25" t="n"/>
    </row>
    <row r="259">
      <c r="A259" s="26" t="n"/>
      <c r="B259" s="24" t="n"/>
      <c r="C259" s="24" t="n"/>
      <c r="D259" s="25" t="n"/>
    </row>
    <row r="260">
      <c r="A260" s="26" t="n"/>
      <c r="B260" s="24" t="n"/>
      <c r="C260" s="24" t="n"/>
      <c r="D260" s="25" t="n"/>
    </row>
    <row r="261">
      <c r="A261" s="26" t="n"/>
      <c r="B261" s="24" t="n"/>
      <c r="C261" s="24" t="n"/>
      <c r="D261" s="25" t="n"/>
    </row>
    <row r="262">
      <c r="A262" s="26" t="n"/>
      <c r="B262" s="24" t="n"/>
      <c r="C262" s="24" t="n"/>
      <c r="D262" s="25" t="n"/>
    </row>
    <row r="263">
      <c r="A263" s="26" t="n"/>
      <c r="B263" s="24" t="n"/>
      <c r="C263" s="24" t="n"/>
      <c r="D263" s="25" t="n"/>
    </row>
    <row r="264">
      <c r="A264" s="26" t="n"/>
      <c r="B264" s="24" t="n"/>
      <c r="C264" s="24" t="n"/>
      <c r="D264" s="25" t="n"/>
    </row>
    <row r="265">
      <c r="A265" s="26" t="n"/>
      <c r="B265" s="24" t="n"/>
      <c r="C265" s="24" t="n"/>
      <c r="D265" s="25" t="n"/>
    </row>
    <row r="266">
      <c r="A266" s="26" t="n"/>
      <c r="B266" s="24" t="n"/>
      <c r="C266" s="24" t="n"/>
      <c r="D266" s="25" t="n"/>
    </row>
    <row r="267">
      <c r="A267" s="26" t="n"/>
      <c r="B267" s="24" t="n"/>
      <c r="C267" s="24" t="n"/>
      <c r="D267" s="25" t="n"/>
    </row>
    <row r="268">
      <c r="A268" s="26" t="n"/>
      <c r="B268" s="24" t="n"/>
      <c r="C268" s="24" t="n"/>
      <c r="D268" s="25" t="n"/>
    </row>
    <row r="269">
      <c r="A269" s="26" t="n"/>
      <c r="B269" s="24" t="n"/>
      <c r="C269" s="24" t="n"/>
      <c r="D269" s="25" t="n"/>
    </row>
    <row r="270">
      <c r="A270" s="26" t="n"/>
      <c r="B270" s="24" t="n"/>
      <c r="C270" s="24" t="n"/>
      <c r="D270" s="25" t="n"/>
    </row>
    <row r="271">
      <c r="A271" s="26" t="n"/>
      <c r="B271" s="24" t="n"/>
      <c r="C271" s="24" t="n"/>
      <c r="D271" s="25" t="n"/>
    </row>
    <row r="272">
      <c r="A272" s="26" t="n"/>
      <c r="B272" s="24" t="n"/>
      <c r="C272" s="24" t="n"/>
      <c r="D272" s="25" t="n"/>
    </row>
    <row r="273">
      <c r="A273" s="26" t="n"/>
      <c r="B273" s="24" t="n"/>
      <c r="C273" s="24" t="n"/>
      <c r="D273" s="25" t="n"/>
    </row>
    <row r="274">
      <c r="A274" s="26" t="n"/>
      <c r="B274" s="24" t="n"/>
      <c r="C274" s="24" t="n"/>
      <c r="D274" s="25" t="n"/>
    </row>
    <row r="275">
      <c r="A275" s="26" t="n"/>
      <c r="B275" s="24" t="n"/>
      <c r="C275" s="24" t="n"/>
      <c r="D275" s="25" t="n"/>
    </row>
    <row r="276">
      <c r="A276" s="26" t="n"/>
      <c r="B276" s="24" t="n"/>
      <c r="C276" s="24" t="n"/>
      <c r="D276" s="25" t="n"/>
    </row>
    <row r="277">
      <c r="A277" s="26" t="n"/>
      <c r="B277" s="24" t="n"/>
      <c r="C277" s="24" t="n"/>
      <c r="D277" s="25" t="n"/>
    </row>
    <row r="278">
      <c r="A278" s="26" t="n"/>
      <c r="B278" s="24" t="n"/>
      <c r="C278" s="24" t="n"/>
      <c r="D278" s="25" t="n"/>
    </row>
    <row r="279">
      <c r="A279" s="26" t="n"/>
      <c r="B279" s="24" t="n"/>
      <c r="C279" s="24" t="n"/>
      <c r="D279" s="25" t="n"/>
    </row>
    <row r="280">
      <c r="A280" s="26" t="n"/>
      <c r="B280" s="24" t="n"/>
      <c r="C280" s="24" t="n"/>
      <c r="D280" s="25" t="n"/>
    </row>
    <row r="281">
      <c r="A281" s="26" t="n"/>
      <c r="B281" s="24" t="n"/>
      <c r="C281" s="24" t="n"/>
      <c r="D281" s="25" t="n"/>
    </row>
    <row r="282">
      <c r="A282" s="26" t="n"/>
      <c r="B282" s="24" t="n"/>
      <c r="C282" s="24" t="n"/>
      <c r="D282" s="25" t="n"/>
    </row>
    <row r="283">
      <c r="A283" s="26" t="n"/>
      <c r="B283" s="24" t="n"/>
      <c r="C283" s="24" t="n"/>
      <c r="D283" s="25" t="n"/>
    </row>
    <row r="284">
      <c r="A284" s="26" t="n"/>
      <c r="B284" s="24" t="n"/>
      <c r="C284" s="24" t="n"/>
      <c r="D284" s="25" t="n"/>
    </row>
    <row r="285">
      <c r="A285" s="26" t="n"/>
      <c r="B285" s="24" t="n"/>
      <c r="C285" s="24" t="n"/>
      <c r="D285" s="25" t="n"/>
    </row>
    <row r="286">
      <c r="A286" s="26" t="n"/>
      <c r="B286" s="24" t="n"/>
      <c r="C286" s="24" t="n"/>
      <c r="D286" s="25" t="n"/>
    </row>
    <row r="287">
      <c r="A287" s="26" t="n"/>
      <c r="B287" s="24" t="n"/>
      <c r="C287" s="24" t="n"/>
      <c r="D287" s="25" t="n"/>
    </row>
    <row r="288">
      <c r="A288" s="26" t="n"/>
      <c r="B288" s="24" t="n"/>
      <c r="C288" s="24" t="n"/>
      <c r="D288" s="25" t="n"/>
    </row>
    <row r="289">
      <c r="A289" s="26" t="n"/>
      <c r="B289" s="24" t="n"/>
      <c r="C289" s="24" t="n"/>
      <c r="D289" s="25" t="n"/>
    </row>
    <row r="290">
      <c r="A290" s="26" t="n"/>
      <c r="B290" s="24" t="n"/>
      <c r="C290" s="24" t="n"/>
      <c r="D290" s="25" t="n"/>
    </row>
    <row r="291">
      <c r="A291" s="26" t="n"/>
      <c r="B291" s="24" t="n"/>
      <c r="C291" s="24" t="n"/>
      <c r="D291" s="25" t="n"/>
    </row>
    <row r="292">
      <c r="A292" s="26" t="n"/>
      <c r="B292" s="24" t="n"/>
      <c r="C292" s="24" t="n"/>
      <c r="D292" s="25" t="n"/>
    </row>
    <row r="293">
      <c r="A293" s="26" t="n"/>
      <c r="B293" s="24" t="n"/>
      <c r="C293" s="24" t="n"/>
      <c r="D293" s="25" t="n"/>
    </row>
    <row r="294">
      <c r="A294" s="26" t="n"/>
      <c r="B294" s="24" t="n"/>
      <c r="C294" s="24" t="n"/>
      <c r="D294" s="25" t="n"/>
    </row>
    <row r="295">
      <c r="A295" s="26" t="n"/>
      <c r="B295" s="24" t="n"/>
      <c r="C295" s="24" t="n"/>
      <c r="D295" s="25" t="n"/>
    </row>
    <row r="296">
      <c r="A296" s="26" t="n"/>
      <c r="B296" s="24" t="n"/>
      <c r="C296" s="24" t="n"/>
      <c r="D296" s="25" t="n"/>
    </row>
    <row r="297">
      <c r="A297" s="26" t="n"/>
      <c r="B297" s="24" t="n"/>
      <c r="C297" s="24" t="n"/>
      <c r="D297" s="25" t="n"/>
    </row>
    <row r="298">
      <c r="A298" s="26" t="n"/>
      <c r="B298" s="24" t="n"/>
      <c r="C298" s="24" t="n"/>
      <c r="D298" s="25" t="n"/>
    </row>
    <row r="299">
      <c r="A299" s="26" t="n"/>
      <c r="B299" s="24" t="n"/>
      <c r="C299" s="24" t="n"/>
      <c r="D299" s="25" t="n"/>
    </row>
    <row r="300">
      <c r="A300" s="26" t="n"/>
      <c r="B300" s="24" t="n"/>
      <c r="C300" s="24" t="n"/>
      <c r="D300" s="25" t="n"/>
    </row>
    <row r="301">
      <c r="A301" s="26" t="n"/>
      <c r="B301" s="24" t="n"/>
      <c r="C301" s="24" t="n"/>
      <c r="D301" s="25" t="n"/>
    </row>
    <row r="302">
      <c r="A302" s="26" t="n"/>
      <c r="B302" s="24" t="n"/>
      <c r="C302" s="24" t="n"/>
      <c r="D302" s="25" t="n"/>
    </row>
    <row r="303">
      <c r="A303" s="26" t="n"/>
      <c r="B303" s="24" t="n"/>
      <c r="C303" s="24" t="n"/>
      <c r="D303" s="25" t="n"/>
    </row>
    <row r="304">
      <c r="A304" s="26" t="n"/>
      <c r="B304" s="24" t="n"/>
      <c r="C304" s="24" t="n"/>
      <c r="D304" s="25" t="n"/>
    </row>
    <row r="305">
      <c r="A305" s="26" t="n"/>
      <c r="B305" s="24" t="n"/>
      <c r="C305" s="24" t="n"/>
      <c r="D305" s="25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autoFilter ref="A5:D305"/>
  <mergeCells count="1">
    <mergeCell ref="A3:D3"/>
  </mergeCells>
  <dataValidations count="1">
    <dataValidation sqref="B6:B305" showDropDown="0" showInputMessage="0" showErrorMessage="0" allowBlank="1" type="list">
      <formula1>=SALES!$A$6:$A$17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7" customWidth="1" min="3" max="3"/>
    <col width="17" customWidth="1" min="4" max="4"/>
    <col width="12" customWidth="1" min="5" max="5"/>
    <col width="10" customWidth="1" min="6" max="6"/>
    <col width="16" customWidth="1" min="7" max="7"/>
    <col width="14" customWidth="1" min="8" max="8"/>
    <col width="17" customWidth="1" min="9" max="9"/>
    <col width="10" customWidth="1" min="10" max="10"/>
    <col width="4" customWidth="1" min="11" max="11"/>
    <col width="4" customWidth="1" min="12" max="12"/>
    <col hidden="1" width="14" customWidth="1" min="13" max="13"/>
  </cols>
  <sheetData>
    <row r="1" ht="24" customHeight="1">
      <c r="A1" s="13" t="inlineStr">
        <is>
          <t>Perhitungan Komisi</t>
        </is>
      </c>
    </row>
    <row r="2">
      <c r="A2" s="14">
        <f>"Periode: "&amp;TEXT(DATE(PARAMETER!C5,PARAMETER!C6,1),"mmmm yyyy")</f>
        <v/>
      </c>
    </row>
    <row r="3">
      <c r="A3" s="15" t="inlineStr">
        <is>
          <t>VERSI DEMO: kapasitas &amp; fitur dibatasi, data simulasi. Versi lengkap: WhatsApp 089623291732</t>
        </is>
      </c>
    </row>
    <row r="5" ht="34" customHeight="1">
      <c r="A5" s="19" t="inlineStr">
        <is>
          <t>Sales</t>
        </is>
      </c>
      <c r="B5" s="19" t="inlineStr">
        <is>
          <t>Wilayah</t>
        </is>
      </c>
      <c r="C5" s="19" t="inlineStr">
        <is>
          <t>Target (Rp)</t>
        </is>
      </c>
      <c r="D5" s="19" t="inlineStr">
        <is>
          <t>Realisasi (Rp)</t>
        </is>
      </c>
      <c r="E5" s="19" t="inlineStr">
        <is>
          <t>Pencapaian</t>
        </is>
      </c>
      <c r="F5" s="19" t="inlineStr">
        <is>
          <t>Tarif</t>
        </is>
      </c>
      <c r="G5" s="19" t="inlineStr">
        <is>
          <t>Komisi (Rp)</t>
        </is>
      </c>
      <c r="H5" s="19" t="inlineStr">
        <is>
          <t>Bonus (Rp)</t>
        </is>
      </c>
      <c r="I5" s="19" t="inlineStr">
        <is>
          <t>Total (Rp)</t>
        </is>
      </c>
      <c r="J5" s="19" t="inlineStr">
        <is>
          <t>Peringkat</t>
        </is>
      </c>
    </row>
    <row r="6">
      <c r="A6" s="27">
        <f>IF(SALES!A6="","",SALES!A6)</f>
        <v/>
      </c>
      <c r="B6" s="27">
        <f>IF($A6="","",SALES!B6)</f>
        <v/>
      </c>
      <c r="C6" s="28">
        <f>IF($A6="","",SALES!C6)</f>
        <v/>
      </c>
      <c r="D6" s="28">
        <f>IF($A6="","",SUMIFS(PENJUALAN!$D$6:$D$305,PENJUALAN!$B$6:$B$305,$A6,PENJUALAN!$A$6:$A$305,"&gt;="&amp;DATE(PARAMETER!$C$5,PARAMETER!$C$6,1),PENJUALAN!$A$6:$A$305,"&lt;"&amp;EDATE(DATE(PARAMETER!$C$5,PARAMETER!$C$6,1),1)))</f>
        <v/>
      </c>
      <c r="E6" s="29">
        <f>IF($A6="","",IF(C6=0,0,D6/C6))</f>
        <v/>
      </c>
      <c r="F6" s="30">
        <f>IF($A6="","",INDEX(PARAMETER!$C$10:$C$13,MATCH(E6,PARAMETER!$B$10:$B$13,1)))</f>
        <v/>
      </c>
      <c r="G6" s="28">
        <f>IF($A6="","",D6*F6)</f>
        <v/>
      </c>
      <c r="H6" s="28">
        <f>IF($A6="","",IF(E6&gt;=1,PARAMETER!$C$7,0))</f>
        <v/>
      </c>
      <c r="I6" s="31">
        <f>IF($A6="","",G6+H6)</f>
        <v/>
      </c>
      <c r="J6" s="32">
        <f>IF($A6="","",RANK(M6,$M$6:$M$17))</f>
        <v/>
      </c>
      <c r="M6" s="33">
        <f>IF($A6="","",E6+ROW()*0.0000001)</f>
        <v/>
      </c>
    </row>
    <row r="7">
      <c r="A7" s="27">
        <f>IF(SALES!A7="","",SALES!A7)</f>
        <v/>
      </c>
      <c r="B7" s="27">
        <f>IF($A7="","",SALES!B7)</f>
        <v/>
      </c>
      <c r="C7" s="28">
        <f>IF($A7="","",SALES!C7)</f>
        <v/>
      </c>
      <c r="D7" s="28">
        <f>IF($A7="","",SUMIFS(PENJUALAN!$D$6:$D$305,PENJUALAN!$B$6:$B$305,$A7,PENJUALAN!$A$6:$A$305,"&gt;="&amp;DATE(PARAMETER!$C$5,PARAMETER!$C$6,1),PENJUALAN!$A$6:$A$305,"&lt;"&amp;EDATE(DATE(PARAMETER!$C$5,PARAMETER!$C$6,1),1)))</f>
        <v/>
      </c>
      <c r="E7" s="29">
        <f>IF($A7="","",IF(C7=0,0,D7/C7))</f>
        <v/>
      </c>
      <c r="F7" s="30">
        <f>IF($A7="","",INDEX(PARAMETER!$C$10:$C$13,MATCH(E7,PARAMETER!$B$10:$B$13,1)))</f>
        <v/>
      </c>
      <c r="G7" s="28">
        <f>IF($A7="","",D7*F7)</f>
        <v/>
      </c>
      <c r="H7" s="28">
        <f>IF($A7="","",IF(E7&gt;=1,PARAMETER!$C$7,0))</f>
        <v/>
      </c>
      <c r="I7" s="31">
        <f>IF($A7="","",G7+H7)</f>
        <v/>
      </c>
      <c r="J7" s="32">
        <f>IF($A7="","",RANK(M7,$M$6:$M$17))</f>
        <v/>
      </c>
      <c r="M7" s="33">
        <f>IF($A7="","",E7+ROW()*0.0000001)</f>
        <v/>
      </c>
    </row>
    <row r="8">
      <c r="A8" s="27">
        <f>IF(SALES!A8="","",SALES!A8)</f>
        <v/>
      </c>
      <c r="B8" s="27">
        <f>IF($A8="","",SALES!B8)</f>
        <v/>
      </c>
      <c r="C8" s="28">
        <f>IF($A8="","",SALES!C8)</f>
        <v/>
      </c>
      <c r="D8" s="28">
        <f>IF($A8="","",SUMIFS(PENJUALAN!$D$6:$D$305,PENJUALAN!$B$6:$B$305,$A8,PENJUALAN!$A$6:$A$305,"&gt;="&amp;DATE(PARAMETER!$C$5,PARAMETER!$C$6,1),PENJUALAN!$A$6:$A$305,"&lt;"&amp;EDATE(DATE(PARAMETER!$C$5,PARAMETER!$C$6,1),1)))</f>
        <v/>
      </c>
      <c r="E8" s="29">
        <f>IF($A8="","",IF(C8=0,0,D8/C8))</f>
        <v/>
      </c>
      <c r="F8" s="30">
        <f>IF($A8="","",INDEX(PARAMETER!$C$10:$C$13,MATCH(E8,PARAMETER!$B$10:$B$13,1)))</f>
        <v/>
      </c>
      <c r="G8" s="28">
        <f>IF($A8="","",D8*F8)</f>
        <v/>
      </c>
      <c r="H8" s="28">
        <f>IF($A8="","",IF(E8&gt;=1,PARAMETER!$C$7,0))</f>
        <v/>
      </c>
      <c r="I8" s="31">
        <f>IF($A8="","",G8+H8)</f>
        <v/>
      </c>
      <c r="J8" s="32">
        <f>IF($A8="","",RANK(M8,$M$6:$M$17))</f>
        <v/>
      </c>
      <c r="M8" s="33">
        <f>IF($A8="","",E8+ROW()*0.0000001)</f>
        <v/>
      </c>
    </row>
    <row r="9">
      <c r="A9" s="27">
        <f>IF(SALES!A9="","",SALES!A9)</f>
        <v/>
      </c>
      <c r="B9" s="27">
        <f>IF($A9="","",SALES!B9)</f>
        <v/>
      </c>
      <c r="C9" s="28">
        <f>IF($A9="","",SALES!C9)</f>
        <v/>
      </c>
      <c r="D9" s="28">
        <f>IF($A9="","",SUMIFS(PENJUALAN!$D$6:$D$305,PENJUALAN!$B$6:$B$305,$A9,PENJUALAN!$A$6:$A$305,"&gt;="&amp;DATE(PARAMETER!$C$5,PARAMETER!$C$6,1),PENJUALAN!$A$6:$A$305,"&lt;"&amp;EDATE(DATE(PARAMETER!$C$5,PARAMETER!$C$6,1),1)))</f>
        <v/>
      </c>
      <c r="E9" s="29">
        <f>IF($A9="","",IF(C9=0,0,D9/C9))</f>
        <v/>
      </c>
      <c r="F9" s="30">
        <f>IF($A9="","",INDEX(PARAMETER!$C$10:$C$13,MATCH(E9,PARAMETER!$B$10:$B$13,1)))</f>
        <v/>
      </c>
      <c r="G9" s="28">
        <f>IF($A9="","",D9*F9)</f>
        <v/>
      </c>
      <c r="H9" s="28">
        <f>IF($A9="","",IF(E9&gt;=1,PARAMETER!$C$7,0))</f>
        <v/>
      </c>
      <c r="I9" s="31">
        <f>IF($A9="","",G9+H9)</f>
        <v/>
      </c>
      <c r="J9" s="32">
        <f>IF($A9="","",RANK(M9,$M$6:$M$17))</f>
        <v/>
      </c>
      <c r="M9" s="33">
        <f>IF($A9="","",E9+ROW()*0.0000001)</f>
        <v/>
      </c>
    </row>
    <row r="10">
      <c r="A10" s="27">
        <f>IF(SALES!A10="","",SALES!A10)</f>
        <v/>
      </c>
      <c r="B10" s="27">
        <f>IF($A10="","",SALES!B10)</f>
        <v/>
      </c>
      <c r="C10" s="28">
        <f>IF($A10="","",SALES!C10)</f>
        <v/>
      </c>
      <c r="D10" s="28">
        <f>IF($A10="","",SUMIFS(PENJUALAN!$D$6:$D$305,PENJUALAN!$B$6:$B$305,$A10,PENJUALAN!$A$6:$A$305,"&gt;="&amp;DATE(PARAMETER!$C$5,PARAMETER!$C$6,1),PENJUALAN!$A$6:$A$305,"&lt;"&amp;EDATE(DATE(PARAMETER!$C$5,PARAMETER!$C$6,1),1)))</f>
        <v/>
      </c>
      <c r="E10" s="29">
        <f>IF($A10="","",IF(C10=0,0,D10/C10))</f>
        <v/>
      </c>
      <c r="F10" s="30">
        <f>IF($A10="","",INDEX(PARAMETER!$C$10:$C$13,MATCH(E10,PARAMETER!$B$10:$B$13,1)))</f>
        <v/>
      </c>
      <c r="G10" s="28">
        <f>IF($A10="","",D10*F10)</f>
        <v/>
      </c>
      <c r="H10" s="28">
        <f>IF($A10="","",IF(E10&gt;=1,PARAMETER!$C$7,0))</f>
        <v/>
      </c>
      <c r="I10" s="31">
        <f>IF($A10="","",G10+H10)</f>
        <v/>
      </c>
      <c r="J10" s="32">
        <f>IF($A10="","",RANK(M10,$M$6:$M$17))</f>
        <v/>
      </c>
      <c r="M10" s="33">
        <f>IF($A10="","",E10+ROW()*0.0000001)</f>
        <v/>
      </c>
    </row>
    <row r="11">
      <c r="A11" s="27">
        <f>IF(SALES!A11="","",SALES!A11)</f>
        <v/>
      </c>
      <c r="B11" s="27">
        <f>IF($A11="","",SALES!B11)</f>
        <v/>
      </c>
      <c r="C11" s="28">
        <f>IF($A11="","",SALES!C11)</f>
        <v/>
      </c>
      <c r="D11" s="28">
        <f>IF($A11="","",SUMIFS(PENJUALAN!$D$6:$D$305,PENJUALAN!$B$6:$B$305,$A11,PENJUALAN!$A$6:$A$305,"&gt;="&amp;DATE(PARAMETER!$C$5,PARAMETER!$C$6,1),PENJUALAN!$A$6:$A$305,"&lt;"&amp;EDATE(DATE(PARAMETER!$C$5,PARAMETER!$C$6,1),1)))</f>
        <v/>
      </c>
      <c r="E11" s="29">
        <f>IF($A11="","",IF(C11=0,0,D11/C11))</f>
        <v/>
      </c>
      <c r="F11" s="30">
        <f>IF($A11="","",INDEX(PARAMETER!$C$10:$C$13,MATCH(E11,PARAMETER!$B$10:$B$13,1)))</f>
        <v/>
      </c>
      <c r="G11" s="28">
        <f>IF($A11="","",D11*F11)</f>
        <v/>
      </c>
      <c r="H11" s="28">
        <f>IF($A11="","",IF(E11&gt;=1,PARAMETER!$C$7,0))</f>
        <v/>
      </c>
      <c r="I11" s="31">
        <f>IF($A11="","",G11+H11)</f>
        <v/>
      </c>
      <c r="J11" s="32">
        <f>IF($A11="","",RANK(M11,$M$6:$M$17))</f>
        <v/>
      </c>
      <c r="M11" s="33">
        <f>IF($A11="","",E11+ROW()*0.0000001)</f>
        <v/>
      </c>
    </row>
    <row r="12">
      <c r="A12" s="27">
        <f>IF(SALES!A12="","",SALES!A12)</f>
        <v/>
      </c>
      <c r="B12" s="27">
        <f>IF($A12="","",SALES!B12)</f>
        <v/>
      </c>
      <c r="C12" s="28">
        <f>IF($A12="","",SALES!C12)</f>
        <v/>
      </c>
      <c r="D12" s="28">
        <f>IF($A12="","",SUMIFS(PENJUALAN!$D$6:$D$305,PENJUALAN!$B$6:$B$305,$A12,PENJUALAN!$A$6:$A$305,"&gt;="&amp;DATE(PARAMETER!$C$5,PARAMETER!$C$6,1),PENJUALAN!$A$6:$A$305,"&lt;"&amp;EDATE(DATE(PARAMETER!$C$5,PARAMETER!$C$6,1),1)))</f>
        <v/>
      </c>
      <c r="E12" s="29">
        <f>IF($A12="","",IF(C12=0,0,D12/C12))</f>
        <v/>
      </c>
      <c r="F12" s="30">
        <f>IF($A12="","",INDEX(PARAMETER!$C$10:$C$13,MATCH(E12,PARAMETER!$B$10:$B$13,1)))</f>
        <v/>
      </c>
      <c r="G12" s="28">
        <f>IF($A12="","",D12*F12)</f>
        <v/>
      </c>
      <c r="H12" s="28">
        <f>IF($A12="","",IF(E12&gt;=1,PARAMETER!$C$7,0))</f>
        <v/>
      </c>
      <c r="I12" s="31">
        <f>IF($A12="","",G12+H12)</f>
        <v/>
      </c>
      <c r="J12" s="32">
        <f>IF($A12="","",RANK(M12,$M$6:$M$17))</f>
        <v/>
      </c>
      <c r="M12" s="33">
        <f>IF($A12="","",E12+ROW()*0.0000001)</f>
        <v/>
      </c>
    </row>
    <row r="13">
      <c r="A13" s="27">
        <f>IF(SALES!A13="","",SALES!A13)</f>
        <v/>
      </c>
      <c r="B13" s="27">
        <f>IF($A13="","",SALES!B13)</f>
        <v/>
      </c>
      <c r="C13" s="28">
        <f>IF($A13="","",SALES!C13)</f>
        <v/>
      </c>
      <c r="D13" s="28">
        <f>IF($A13="","",SUMIFS(PENJUALAN!$D$6:$D$305,PENJUALAN!$B$6:$B$305,$A13,PENJUALAN!$A$6:$A$305,"&gt;="&amp;DATE(PARAMETER!$C$5,PARAMETER!$C$6,1),PENJUALAN!$A$6:$A$305,"&lt;"&amp;EDATE(DATE(PARAMETER!$C$5,PARAMETER!$C$6,1),1)))</f>
        <v/>
      </c>
      <c r="E13" s="29">
        <f>IF($A13="","",IF(C13=0,0,D13/C13))</f>
        <v/>
      </c>
      <c r="F13" s="30">
        <f>IF($A13="","",INDEX(PARAMETER!$C$10:$C$13,MATCH(E13,PARAMETER!$B$10:$B$13,1)))</f>
        <v/>
      </c>
      <c r="G13" s="28">
        <f>IF($A13="","",D13*F13)</f>
        <v/>
      </c>
      <c r="H13" s="28">
        <f>IF($A13="","",IF(E13&gt;=1,PARAMETER!$C$7,0))</f>
        <v/>
      </c>
      <c r="I13" s="31">
        <f>IF($A13="","",G13+H13)</f>
        <v/>
      </c>
      <c r="J13" s="32">
        <f>IF($A13="","",RANK(M13,$M$6:$M$17))</f>
        <v/>
      </c>
      <c r="M13" s="33">
        <f>IF($A13="","",E13+ROW()*0.0000001)</f>
        <v/>
      </c>
    </row>
    <row r="14">
      <c r="A14" s="27">
        <f>IF(SALES!A14="","",SALES!A14)</f>
        <v/>
      </c>
      <c r="B14" s="27">
        <f>IF($A14="","",SALES!B14)</f>
        <v/>
      </c>
      <c r="C14" s="28">
        <f>IF($A14="","",SALES!C14)</f>
        <v/>
      </c>
      <c r="D14" s="28">
        <f>IF($A14="","",SUMIFS(PENJUALAN!$D$6:$D$305,PENJUALAN!$B$6:$B$305,$A14,PENJUALAN!$A$6:$A$305,"&gt;="&amp;DATE(PARAMETER!$C$5,PARAMETER!$C$6,1),PENJUALAN!$A$6:$A$305,"&lt;"&amp;EDATE(DATE(PARAMETER!$C$5,PARAMETER!$C$6,1),1)))</f>
        <v/>
      </c>
      <c r="E14" s="29">
        <f>IF($A14="","",IF(C14=0,0,D14/C14))</f>
        <v/>
      </c>
      <c r="F14" s="30">
        <f>IF($A14="","",INDEX(PARAMETER!$C$10:$C$13,MATCH(E14,PARAMETER!$B$10:$B$13,1)))</f>
        <v/>
      </c>
      <c r="G14" s="28">
        <f>IF($A14="","",D14*F14)</f>
        <v/>
      </c>
      <c r="H14" s="28">
        <f>IF($A14="","",IF(E14&gt;=1,PARAMETER!$C$7,0))</f>
        <v/>
      </c>
      <c r="I14" s="31">
        <f>IF($A14="","",G14+H14)</f>
        <v/>
      </c>
      <c r="J14" s="32">
        <f>IF($A14="","",RANK(M14,$M$6:$M$17))</f>
        <v/>
      </c>
      <c r="M14" s="33">
        <f>IF($A14="","",E14+ROW()*0.0000001)</f>
        <v/>
      </c>
    </row>
    <row r="15">
      <c r="A15" s="27">
        <f>IF(SALES!A15="","",SALES!A15)</f>
        <v/>
      </c>
      <c r="B15" s="27">
        <f>IF($A15="","",SALES!B15)</f>
        <v/>
      </c>
      <c r="C15" s="28">
        <f>IF($A15="","",SALES!C15)</f>
        <v/>
      </c>
      <c r="D15" s="28">
        <f>IF($A15="","",SUMIFS(PENJUALAN!$D$6:$D$305,PENJUALAN!$B$6:$B$305,$A15,PENJUALAN!$A$6:$A$305,"&gt;="&amp;DATE(PARAMETER!$C$5,PARAMETER!$C$6,1),PENJUALAN!$A$6:$A$305,"&lt;"&amp;EDATE(DATE(PARAMETER!$C$5,PARAMETER!$C$6,1),1)))</f>
        <v/>
      </c>
      <c r="E15" s="29">
        <f>IF($A15="","",IF(C15=0,0,D15/C15))</f>
        <v/>
      </c>
      <c r="F15" s="30">
        <f>IF($A15="","",INDEX(PARAMETER!$C$10:$C$13,MATCH(E15,PARAMETER!$B$10:$B$13,1)))</f>
        <v/>
      </c>
      <c r="G15" s="28">
        <f>IF($A15="","",D15*F15)</f>
        <v/>
      </c>
      <c r="H15" s="28">
        <f>IF($A15="","",IF(E15&gt;=1,PARAMETER!$C$7,0))</f>
        <v/>
      </c>
      <c r="I15" s="31">
        <f>IF($A15="","",G15+H15)</f>
        <v/>
      </c>
      <c r="J15" s="32">
        <f>IF($A15="","",RANK(M15,$M$6:$M$17))</f>
        <v/>
      </c>
      <c r="M15" s="33">
        <f>IF($A15="","",E15+ROW()*0.0000001)</f>
        <v/>
      </c>
    </row>
    <row r="16">
      <c r="A16" s="27">
        <f>IF(SALES!A16="","",SALES!A16)</f>
        <v/>
      </c>
      <c r="B16" s="27">
        <f>IF($A16="","",SALES!B16)</f>
        <v/>
      </c>
      <c r="C16" s="28">
        <f>IF($A16="","",SALES!C16)</f>
        <v/>
      </c>
      <c r="D16" s="28">
        <f>IF($A16="","",SUMIFS(PENJUALAN!$D$6:$D$305,PENJUALAN!$B$6:$B$305,$A16,PENJUALAN!$A$6:$A$305,"&gt;="&amp;DATE(PARAMETER!$C$5,PARAMETER!$C$6,1),PENJUALAN!$A$6:$A$305,"&lt;"&amp;EDATE(DATE(PARAMETER!$C$5,PARAMETER!$C$6,1),1)))</f>
        <v/>
      </c>
      <c r="E16" s="29">
        <f>IF($A16="","",IF(C16=0,0,D16/C16))</f>
        <v/>
      </c>
      <c r="F16" s="30">
        <f>IF($A16="","",INDEX(PARAMETER!$C$10:$C$13,MATCH(E16,PARAMETER!$B$10:$B$13,1)))</f>
        <v/>
      </c>
      <c r="G16" s="28">
        <f>IF($A16="","",D16*F16)</f>
        <v/>
      </c>
      <c r="H16" s="28">
        <f>IF($A16="","",IF(E16&gt;=1,PARAMETER!$C$7,0))</f>
        <v/>
      </c>
      <c r="I16" s="31">
        <f>IF($A16="","",G16+H16)</f>
        <v/>
      </c>
      <c r="J16" s="32">
        <f>IF($A16="","",RANK(M16,$M$6:$M$17))</f>
        <v/>
      </c>
      <c r="M16" s="33">
        <f>IF($A16="","",E16+ROW()*0.0000001)</f>
        <v/>
      </c>
    </row>
    <row r="17">
      <c r="A17" s="27">
        <f>IF(SALES!A17="","",SALES!A17)</f>
        <v/>
      </c>
      <c r="B17" s="27">
        <f>IF($A17="","",SALES!B17)</f>
        <v/>
      </c>
      <c r="C17" s="28">
        <f>IF($A17="","",SALES!C17)</f>
        <v/>
      </c>
      <c r="D17" s="28">
        <f>IF($A17="","",SUMIFS(PENJUALAN!$D$6:$D$305,PENJUALAN!$B$6:$B$305,$A17,PENJUALAN!$A$6:$A$305,"&gt;="&amp;DATE(PARAMETER!$C$5,PARAMETER!$C$6,1),PENJUALAN!$A$6:$A$305,"&lt;"&amp;EDATE(DATE(PARAMETER!$C$5,PARAMETER!$C$6,1),1)))</f>
        <v/>
      </c>
      <c r="E17" s="29">
        <f>IF($A17="","",IF(C17=0,0,D17/C17))</f>
        <v/>
      </c>
      <c r="F17" s="30">
        <f>IF($A17="","",INDEX(PARAMETER!$C$10:$C$13,MATCH(E17,PARAMETER!$B$10:$B$13,1)))</f>
        <v/>
      </c>
      <c r="G17" s="28">
        <f>IF($A17="","",D17*F17)</f>
        <v/>
      </c>
      <c r="H17" s="28">
        <f>IF($A17="","",IF(E17&gt;=1,PARAMETER!$C$7,0))</f>
        <v/>
      </c>
      <c r="I17" s="31">
        <f>IF($A17="","",G17+H17)</f>
        <v/>
      </c>
      <c r="J17" s="32">
        <f>IF($A17="","",RANK(M17,$M$6:$M$17))</f>
        <v/>
      </c>
      <c r="M17" s="33">
        <f>IF($A17="","",E17+ROW()*0.0000001)</f>
        <v/>
      </c>
    </row>
    <row r="18">
      <c r="A18" s="34" t="inlineStr">
        <is>
          <t>TOTAL</t>
        </is>
      </c>
      <c r="B18" s="35" t="n"/>
      <c r="C18" s="36">
        <f>SUM(C6:C17)</f>
        <v/>
      </c>
      <c r="D18" s="36">
        <f>SUM(D6:D17)</f>
        <v/>
      </c>
      <c r="E18" s="37">
        <f>IF(C18=0,0,D18/C18)</f>
        <v/>
      </c>
      <c r="F18" s="35" t="n"/>
      <c r="G18" s="36">
        <f>SUM(G6:G17)</f>
        <v/>
      </c>
      <c r="H18" s="36">
        <f>SUM(H6:H17)</f>
        <v/>
      </c>
      <c r="I18" s="36">
        <f>SUM(I6:I17)</f>
        <v/>
      </c>
      <c r="J18" s="35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A3:J3"/>
  </mergeCells>
  <conditionalFormatting sqref="E6:E17">
    <cfRule type="cellIs" priority="1" operator="greaterThanOrEqual" dxfId="0">
      <formula>1</formula>
    </cfRule>
    <cfRule type="cellIs" priority="2" operator="lessThan" dxfId="1">
      <formula>0.8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Mantam Product</dc:creator>
  <dc:title xmlns:dc="http://purl.org/dc/elements/1.1/">Target &amp; Komisi Sales (Demo)</dc:title>
  <dc:subject xmlns:dc="http://purl.org/dc/elements/1.1/">Lisensi: demo</dc:subject>
  <dcterms:created xmlns:dcterms="http://purl.org/dc/terms/" xmlns:xsi="http://www.w3.org/2001/XMLSchema-instance" xsi:type="dcterms:W3CDTF">2026-10-29T04:46:56Z</dcterms:created>
  <dcterms:modified xmlns:dcterms="http://purl.org/dc/terms/" xmlns:xsi="http://www.w3.org/2001/XMLSchema-instance" xsi:type="dcterms:W3CDTF">2026-10-29T04:46:56Z</dcterms:modified>
</cp:coreProperties>
</file>