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MASTER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VARIANS" sheetId="5" state="visible" r:id="rId5"/>
  </sheets>
  <definedNames>
    <definedName name="_xlnm._FilterDatabase" localSheetId="3" hidden="1">'DATA'!$A$5:$E$155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0" fontId="9" fillId="3" borderId="1" applyProtection="1" pivotButton="0" quotePrefix="0" xfId="0">
      <protection locked="0" hidden="0"/>
    </xf>
    <xf numFmtId="1" fontId="9" fillId="3" borderId="1" applyProtection="1" pivotButton="0" quotePrefix="0" xfId="0">
      <protection locked="0" hidden="0"/>
    </xf>
    <xf numFmtId="9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Protection="1" pivotButton="0" quotePrefix="0" xfId="0">
      <protection locked="0" hidden="0"/>
    </xf>
    <xf numFmtId="1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pivotButton="0" quotePrefix="0" xfId="0"/>
    <xf numFmtId="165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164" fontId="7" fillId="6" borderId="1" pivotButton="0" quotePrefix="0" xfId="0"/>
    <xf numFmtId="165" fontId="7" fillId="6" borderId="1" pivotButton="0" quotePrefix="0" xfId="0"/>
    <xf numFmtId="0" fontId="8" fillId="6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  <dxf>
      <font>
        <name val="Arial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Anggaran vs Realisasi YTD per Akun (Rp juta)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'VARIANS'!B5</f>
            </strRef>
          </tx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'VARIANS'!$A$6:$A$11</f>
            </numRef>
          </cat>
          <val>
            <numRef>
              <f>'VARIANS'!$B$6:$B$11</f>
            </numRef>
          </val>
        </ser>
        <ser>
          <idx val="1"/>
          <order val="1"/>
          <tx>
            <strRef>
              <f>'VARIANS'!C5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'VARIANS'!$A$6:$A$11</f>
            </numRef>
          </cat>
          <val>
            <numRef>
              <f>'VARIANS'!$C$6:$C$11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Budget vs Aktual</t>
        </is>
      </c>
    </row>
    <row r="3" ht="44" customHeight="1">
      <c r="B3" s="3" t="inlineStr">
        <is>
          <t>Bandingkan anggaran dengan realisasi per departemen dan akun, lengkap dengan status otomatis dan proyeksi setahun.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daftar departemen dan akun di MASTER.</t>
        </is>
      </c>
    </row>
    <row r="9" ht="30" customHeight="1">
      <c r="B9" s="8" t="inlineStr">
        <is>
          <t>Langkah 2</t>
        </is>
      </c>
      <c r="C9" s="9" t="inlineStr">
        <is>
          <t>Masukkan anggaran dan realisasi per bulan di DATA (satu baris = departemen × akun × bulan). Realisasi bulan yang belum berjalan dikosongkan.</t>
        </is>
      </c>
    </row>
    <row r="10" ht="16" customHeight="1">
      <c r="B10" s="8" t="inlineStr">
        <is>
          <t>Langkah 3</t>
        </is>
      </c>
      <c r="C10" s="9" t="inlineStr">
        <is>
          <t>Pilih departemen, bulan s/d, dan toleransi di PARAMETER.</t>
        </is>
      </c>
    </row>
    <row r="11" ht="16" customHeight="1">
      <c r="B11" s="8" t="inlineStr">
        <is>
          <t>Langkah 4</t>
        </is>
      </c>
      <c r="C11" s="9" t="inlineStr">
        <is>
          <t>Baca VARIANS: selisih positif berarti hemat, negatif berarti melebihi anggaran.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Pilih departemen (atau Semua), bulan s/d, dan toleransi varians.</t>
        </is>
      </c>
    </row>
    <row r="15" ht="16" customHeight="1">
      <c r="B15" s="8" t="inlineStr">
        <is>
          <t>MASTER</t>
        </is>
      </c>
      <c r="C15" s="9" t="inlineStr">
        <is>
          <t>Daftar departemen dan akun beban.</t>
        </is>
      </c>
    </row>
    <row r="16" ht="16" customHeight="1">
      <c r="B16" s="8" t="inlineStr">
        <is>
          <t>DATA</t>
        </is>
      </c>
      <c r="C16" s="9" t="inlineStr">
        <is>
          <t>Tabel anggaran dan realisasi per departemen × akun × bulan (kapasitas 150 baris).</t>
        </is>
      </c>
    </row>
    <row r="17" ht="30" customHeight="1">
      <c r="B17" s="8" t="inlineStr">
        <is>
          <t>VARIANS</t>
        </is>
      </c>
      <c r="C17" s="9" t="inlineStr">
        <is>
          <t>Budget vs aktual YTD per akun, selisih, persentase, status (Over Budget / On Track / Hemat), dan grafik.</t>
        </is>
      </c>
    </row>
    <row r="19">
      <c r="B19" s="6" t="inlineStr">
        <is>
          <t>Legenda warna</t>
        </is>
      </c>
      <c r="C19" s="7" t="n"/>
    </row>
    <row r="20">
      <c r="B20" s="10" t="inlineStr">
        <is>
          <t>Teks biru</t>
        </is>
      </c>
      <c r="C20" s="11" t="inlineStr">
        <is>
          <t>Sel input: boleh Anda ubah (tidak terkunci).</t>
        </is>
      </c>
    </row>
    <row r="21">
      <c r="B21" s="12" t="inlineStr">
        <is>
          <t>Sel kuning</t>
        </is>
      </c>
      <c r="C21" s="11" t="inlineStr">
        <is>
          <t>Parameter kunci: periksa terlebih dulu.</t>
        </is>
      </c>
    </row>
    <row r="22">
      <c r="B22" s="11" t="inlineStr">
        <is>
          <t>Teks hitam</t>
        </is>
      </c>
      <c r="C22" s="11" t="inlineStr">
        <is>
          <t>Rumus otomatis (terkunci; Review &gt; Unprotect Sheet tanpa kata sandi bila perlu).</t>
        </is>
      </c>
    </row>
    <row r="24">
      <c r="B24" s="6" t="inlineStr">
        <is>
          <t>Catatan</t>
        </is>
      </c>
      <c r="C24" s="7" t="n"/>
    </row>
    <row r="25" ht="16" customHeight="1">
      <c r="C25" s="9" t="inlineStr">
        <is>
          <t>• Seluruh data adalah simulasi buatan, bukan data perusahaan nyata.</t>
        </is>
      </c>
    </row>
    <row r="26" ht="30" customHeight="1">
      <c r="C26" s="9" t="inlineStr">
        <is>
          <t>• Hasil perhitungan adalah alat bantu; verifikasi dengan akuntan/konsultan sebelum dipakai untuk keputusan atau pelaporan resmi.</t>
        </is>
      </c>
    </row>
    <row r="27" ht="16" customHeight="1">
      <c r="C27" s="9" t="inlineStr">
        <is>
          <t>• Proyeksi setahun = realisasi YTD + anggaran sisa bulan (metode sederhana).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48" customWidth="1" min="4" max="4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Departemen</t>
        </is>
      </c>
      <c r="C5" s="17" t="inlineStr">
        <is>
          <t>Semua</t>
        </is>
      </c>
      <c r="D5" s="14" t="inlineStr">
        <is>
          <t>Pilih 'Semua' untuk seluruh departemen</t>
        </is>
      </c>
    </row>
    <row r="6">
      <c r="B6" s="16" t="inlineStr">
        <is>
          <t>Bulan s/d (1-12)</t>
        </is>
      </c>
      <c r="C6" s="18" t="n">
        <v>4</v>
      </c>
      <c r="D6" s="14" t="inlineStr">
        <is>
          <t>Hanya sampai bulan yang sudah ada realisasinya</t>
        </is>
      </c>
    </row>
    <row r="7">
      <c r="B7" s="16" t="inlineStr">
        <is>
          <t>Toleransi varians</t>
        </is>
      </c>
      <c r="C7" s="19" t="n">
        <v>0.05</v>
      </c>
      <c r="D7" s="14" t="inlineStr">
        <is>
          <t>Di atas batas ini dianggap Over Budget / Hemat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dataValidations count="3">
    <dataValidation sqref="C5" showDropDown="0" showInputMessage="0" showErrorMessage="0" allowBlank="1" type="list">
      <formula1>=MASTER!$J$5:$J$13</formula1>
    </dataValidation>
    <dataValidation sqref="C6" showDropDown="0" showInputMessage="0" showErrorMessage="1" allowBlank="1" error="Isi angka antara 1 dan 12" type="whole" operator="between">
      <formula1>1</formula1>
      <formula2>12</formula2>
    </dataValidation>
    <dataValidation sqref="C7" showDropDown="0" showInputMessage="0" showErrorMessage="1" allowBlank="1" error="Isi angka antara 0 dan 0.5" type="decimal" operator="between">
      <formula1>0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28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2" customWidth="1" min="10" max="10"/>
  </cols>
  <sheetData>
    <row r="1" ht="24" customHeight="1">
      <c r="A1" s="13" t="inlineStr">
        <is>
          <t>Master</t>
        </is>
      </c>
    </row>
    <row r="2">
      <c r="A2" s="14" t="inlineStr">
        <is>
          <t>Nama harus sama persis dengan yang dipakai di DATA</t>
        </is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0" t="inlineStr">
        <is>
          <t>Departemen</t>
        </is>
      </c>
      <c r="B5" s="20" t="inlineStr"/>
      <c r="C5" s="20" t="inlineStr">
        <is>
          <t>Akun beban</t>
        </is>
      </c>
      <c r="J5" s="21" t="inlineStr">
        <is>
          <t>Semua</t>
        </is>
      </c>
    </row>
    <row r="6">
      <c r="A6" s="22" t="inlineStr">
        <is>
          <t>Operasional</t>
        </is>
      </c>
      <c r="C6" s="22" t="inlineStr">
        <is>
          <t>Gaji &amp; Tunjangan</t>
        </is>
      </c>
      <c r="J6" s="21">
        <f>IF(A6="","",A6)</f>
        <v/>
      </c>
    </row>
    <row r="7">
      <c r="A7" s="22" t="inlineStr">
        <is>
          <t>Pemasaran</t>
        </is>
      </c>
      <c r="C7" s="22" t="inlineStr">
        <is>
          <t>Perjalanan Dinas</t>
        </is>
      </c>
      <c r="J7" s="21">
        <f>IF(A7="","",A7)</f>
        <v/>
      </c>
    </row>
    <row r="8">
      <c r="A8" s="22" t="inlineStr">
        <is>
          <t>Keuangan</t>
        </is>
      </c>
      <c r="C8" s="22" t="inlineStr">
        <is>
          <t>Pemasaran &amp; Iklan</t>
        </is>
      </c>
      <c r="J8" s="21">
        <f>IF(A8="","",A8)</f>
        <v/>
      </c>
    </row>
    <row r="9">
      <c r="A9" s="22" t="n"/>
      <c r="C9" s="22" t="inlineStr">
        <is>
          <t>Utilitas</t>
        </is>
      </c>
      <c r="J9" s="21">
        <f>IF(A9="","",A9)</f>
        <v/>
      </c>
    </row>
    <row r="10">
      <c r="A10" s="22" t="n"/>
      <c r="C10" s="22" t="inlineStr">
        <is>
          <t>Perlengkapan</t>
        </is>
      </c>
      <c r="J10" s="21">
        <f>IF(A10="","",A10)</f>
        <v/>
      </c>
    </row>
    <row r="11">
      <c r="A11" s="22" t="n"/>
      <c r="C11" s="22" t="inlineStr">
        <is>
          <t>Pelatihan</t>
        </is>
      </c>
      <c r="J11" s="21">
        <f>IF(A11="","",A11)</f>
        <v/>
      </c>
    </row>
    <row r="12">
      <c r="A12" s="22" t="n"/>
      <c r="C12" s="22" t="n"/>
      <c r="J12" s="21">
        <f>IF(A12="","",A12)</f>
        <v/>
      </c>
    </row>
    <row r="13">
      <c r="A13" s="22" t="n"/>
      <c r="C13" s="22" t="n"/>
      <c r="J13" s="21">
        <f>IF(A13="","",A13)</f>
        <v/>
      </c>
    </row>
    <row r="14">
      <c r="C14" s="22" t="n"/>
    </row>
    <row r="15">
      <c r="C15" s="22" t="n"/>
    </row>
    <row r="16">
      <c r="C16" s="22" t="n"/>
    </row>
    <row r="17">
      <c r="C17" s="2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8" customWidth="1" min="4" max="4"/>
    <col width="18" customWidth="1" min="5" max="5"/>
  </cols>
  <sheetData>
    <row r="1" ht="24" customHeight="1">
      <c r="A1" s="13" t="inlineStr">
        <is>
          <t>Data Anggaran &amp; Realisasi</t>
        </is>
      </c>
    </row>
    <row r="2">
      <c r="A2" s="14" t="inlineStr">
        <is>
          <t>Kapasitas 150 baris</t>
        </is>
      </c>
    </row>
    <row r="3">
      <c r="A3" s="15" t="inlineStr">
        <is>
          <t>VERSI DEMO: kapasitas &amp; fitur dibatasi, data simulasi. Versi lengkap: WhatsApp 089623291732</t>
        </is>
      </c>
    </row>
    <row r="5" ht="30" customHeight="1">
      <c r="A5" s="20" t="inlineStr">
        <is>
          <t>Departemen</t>
        </is>
      </c>
      <c r="B5" s="20" t="inlineStr">
        <is>
          <t>Akun</t>
        </is>
      </c>
      <c r="C5" s="20" t="inlineStr">
        <is>
          <t>Bulan (1-12)</t>
        </is>
      </c>
      <c r="D5" s="20" t="inlineStr">
        <is>
          <t>Anggaran (Rp)</t>
        </is>
      </c>
      <c r="E5" s="20" t="inlineStr">
        <is>
          <t>Realisasi (Rp)</t>
        </is>
      </c>
    </row>
    <row r="6">
      <c r="A6" s="22" t="inlineStr">
        <is>
          <t>Operasional</t>
        </is>
      </c>
      <c r="B6" s="22" t="inlineStr">
        <is>
          <t>Gaji &amp; Tunjangan</t>
        </is>
      </c>
      <c r="C6" s="23" t="n">
        <v>1</v>
      </c>
      <c r="D6" s="24" t="n">
        <v>16660000</v>
      </c>
      <c r="E6" s="24" t="n">
        <v>15960000</v>
      </c>
    </row>
    <row r="7">
      <c r="A7" s="22" t="inlineStr">
        <is>
          <t>Operasional</t>
        </is>
      </c>
      <c r="B7" s="22" t="inlineStr">
        <is>
          <t>Gaji &amp; Tunjangan</t>
        </is>
      </c>
      <c r="C7" s="23" t="n">
        <v>2</v>
      </c>
      <c r="D7" s="24" t="n">
        <v>17340000</v>
      </c>
      <c r="E7" s="24" t="n">
        <v>18210000</v>
      </c>
    </row>
    <row r="8">
      <c r="A8" s="22" t="inlineStr">
        <is>
          <t>Operasional</t>
        </is>
      </c>
      <c r="B8" s="22" t="inlineStr">
        <is>
          <t>Gaji &amp; Tunjangan</t>
        </is>
      </c>
      <c r="C8" s="23" t="n">
        <v>3</v>
      </c>
      <c r="D8" s="24" t="n">
        <v>18020000</v>
      </c>
      <c r="E8" s="24" t="n">
        <v>17330000</v>
      </c>
    </row>
    <row r="9">
      <c r="A9" s="22" t="inlineStr">
        <is>
          <t>Operasional</t>
        </is>
      </c>
      <c r="B9" s="22" t="inlineStr">
        <is>
          <t>Gaji &amp; Tunjangan</t>
        </is>
      </c>
      <c r="C9" s="23" t="n">
        <v>4</v>
      </c>
      <c r="D9" s="24" t="n">
        <v>15980000</v>
      </c>
      <c r="E9" s="24" t="n">
        <v>15290000</v>
      </c>
    </row>
    <row r="10">
      <c r="A10" s="22" t="inlineStr">
        <is>
          <t>Operasional</t>
        </is>
      </c>
      <c r="B10" s="22" t="inlineStr">
        <is>
          <t>Gaji &amp; Tunjangan</t>
        </is>
      </c>
      <c r="C10" s="23" t="n">
        <v>5</v>
      </c>
      <c r="D10" s="24" t="n">
        <v>16660000</v>
      </c>
      <c r="E10" s="24" t="n"/>
    </row>
    <row r="11">
      <c r="A11" s="22" t="inlineStr">
        <is>
          <t>Operasional</t>
        </is>
      </c>
      <c r="B11" s="22" t="inlineStr">
        <is>
          <t>Gaji &amp; Tunjangan</t>
        </is>
      </c>
      <c r="C11" s="23" t="n">
        <v>6</v>
      </c>
      <c r="D11" s="24" t="n">
        <v>17340000</v>
      </c>
      <c r="E11" s="24" t="n"/>
    </row>
    <row r="12">
      <c r="A12" s="22" t="inlineStr">
        <is>
          <t>Operasional</t>
        </is>
      </c>
      <c r="B12" s="22" t="inlineStr">
        <is>
          <t>Perjalanan Dinas</t>
        </is>
      </c>
      <c r="C12" s="23" t="n">
        <v>1</v>
      </c>
      <c r="D12" s="24" t="n">
        <v>29400000</v>
      </c>
      <c r="E12" s="24" t="n">
        <v>31450000</v>
      </c>
    </row>
    <row r="13">
      <c r="A13" s="22" t="inlineStr">
        <is>
          <t>Operasional</t>
        </is>
      </c>
      <c r="B13" s="22" t="inlineStr">
        <is>
          <t>Perjalanan Dinas</t>
        </is>
      </c>
      <c r="C13" s="23" t="n">
        <v>2</v>
      </c>
      <c r="D13" s="24" t="n">
        <v>30600000</v>
      </c>
      <c r="E13" s="24" t="n">
        <v>35980000</v>
      </c>
    </row>
    <row r="14">
      <c r="A14" s="22" t="inlineStr">
        <is>
          <t>Operasional</t>
        </is>
      </c>
      <c r="B14" s="22" t="inlineStr">
        <is>
          <t>Perjalanan Dinas</t>
        </is>
      </c>
      <c r="C14" s="23" t="n">
        <v>3</v>
      </c>
      <c r="D14" s="24" t="n">
        <v>31800000</v>
      </c>
      <c r="E14" s="24" t="n">
        <v>27610000</v>
      </c>
    </row>
    <row r="15">
      <c r="A15" s="22" t="inlineStr">
        <is>
          <t>Operasional</t>
        </is>
      </c>
      <c r="B15" s="22" t="inlineStr">
        <is>
          <t>Perjalanan Dinas</t>
        </is>
      </c>
      <c r="C15" s="23" t="n">
        <v>4</v>
      </c>
      <c r="D15" s="24" t="n">
        <v>28200000</v>
      </c>
      <c r="E15" s="24" t="n">
        <v>30530000</v>
      </c>
    </row>
    <row r="16">
      <c r="A16" s="22" t="inlineStr">
        <is>
          <t>Operasional</t>
        </is>
      </c>
      <c r="B16" s="22" t="inlineStr">
        <is>
          <t>Perjalanan Dinas</t>
        </is>
      </c>
      <c r="C16" s="23" t="n">
        <v>5</v>
      </c>
      <c r="D16" s="24" t="n">
        <v>29400000</v>
      </c>
      <c r="E16" s="24" t="n"/>
    </row>
    <row r="17">
      <c r="A17" s="22" t="inlineStr">
        <is>
          <t>Operasional</t>
        </is>
      </c>
      <c r="B17" s="22" t="inlineStr">
        <is>
          <t>Perjalanan Dinas</t>
        </is>
      </c>
      <c r="C17" s="23" t="n">
        <v>6</v>
      </c>
      <c r="D17" s="24" t="n">
        <v>30600000</v>
      </c>
      <c r="E17" s="24" t="n"/>
    </row>
    <row r="18">
      <c r="A18" s="22" t="inlineStr">
        <is>
          <t>Operasional</t>
        </is>
      </c>
      <c r="B18" s="22" t="inlineStr">
        <is>
          <t>Pemasaran &amp; Iklan</t>
        </is>
      </c>
      <c r="C18" s="23" t="n">
        <v>1</v>
      </c>
      <c r="D18" s="24" t="n">
        <v>15680000</v>
      </c>
      <c r="E18" s="24" t="n">
        <v>18500000</v>
      </c>
    </row>
    <row r="19">
      <c r="A19" s="22" t="inlineStr">
        <is>
          <t>Operasional</t>
        </is>
      </c>
      <c r="B19" s="22" t="inlineStr">
        <is>
          <t>Pemasaran &amp; Iklan</t>
        </is>
      </c>
      <c r="C19" s="23" t="n">
        <v>2</v>
      </c>
      <c r="D19" s="24" t="n">
        <v>16320000</v>
      </c>
      <c r="E19" s="24" t="n">
        <v>19440000</v>
      </c>
    </row>
    <row r="20">
      <c r="A20" s="22" t="inlineStr">
        <is>
          <t>Operasional</t>
        </is>
      </c>
      <c r="B20" s="22" t="inlineStr">
        <is>
          <t>Pemasaran &amp; Iklan</t>
        </is>
      </c>
      <c r="C20" s="23" t="n">
        <v>3</v>
      </c>
      <c r="D20" s="24" t="n">
        <v>16960000</v>
      </c>
      <c r="E20" s="24" t="n">
        <v>21390000</v>
      </c>
    </row>
    <row r="21">
      <c r="A21" s="22" t="inlineStr">
        <is>
          <t>Operasional</t>
        </is>
      </c>
      <c r="B21" s="22" t="inlineStr">
        <is>
          <t>Pemasaran &amp; Iklan</t>
        </is>
      </c>
      <c r="C21" s="23" t="n">
        <v>4</v>
      </c>
      <c r="D21" s="24" t="n">
        <v>15040000</v>
      </c>
      <c r="E21" s="24" t="n">
        <v>12860000</v>
      </c>
    </row>
    <row r="22">
      <c r="A22" s="22" t="inlineStr">
        <is>
          <t>Operasional</t>
        </is>
      </c>
      <c r="B22" s="22" t="inlineStr">
        <is>
          <t>Pemasaran &amp; Iklan</t>
        </is>
      </c>
      <c r="C22" s="23" t="n">
        <v>5</v>
      </c>
      <c r="D22" s="24" t="n">
        <v>15680000</v>
      </c>
      <c r="E22" s="24" t="n"/>
    </row>
    <row r="23">
      <c r="A23" s="22" t="inlineStr">
        <is>
          <t>Operasional</t>
        </is>
      </c>
      <c r="B23" s="22" t="inlineStr">
        <is>
          <t>Pemasaran &amp; Iklan</t>
        </is>
      </c>
      <c r="C23" s="23" t="n">
        <v>6</v>
      </c>
      <c r="D23" s="24" t="n">
        <v>16320000</v>
      </c>
      <c r="E23" s="24" t="n"/>
    </row>
    <row r="24">
      <c r="A24" s="22" t="inlineStr">
        <is>
          <t>Operasional</t>
        </is>
      </c>
      <c r="B24" s="22" t="inlineStr">
        <is>
          <t>Utilitas</t>
        </is>
      </c>
      <c r="C24" s="23" t="n">
        <v>1</v>
      </c>
      <c r="D24" s="24" t="n">
        <v>40180000</v>
      </c>
      <c r="E24" s="24" t="n">
        <v>41280000</v>
      </c>
    </row>
    <row r="25">
      <c r="A25" s="22" t="inlineStr">
        <is>
          <t>Operasional</t>
        </is>
      </c>
      <c r="B25" s="22" t="inlineStr">
        <is>
          <t>Utilitas</t>
        </is>
      </c>
      <c r="C25" s="23" t="n">
        <v>2</v>
      </c>
      <c r="D25" s="24" t="n">
        <v>41820000</v>
      </c>
      <c r="E25" s="24" t="n">
        <v>46510000</v>
      </c>
    </row>
    <row r="26">
      <c r="A26" s="22" t="inlineStr">
        <is>
          <t>Operasional</t>
        </is>
      </c>
      <c r="B26" s="22" t="inlineStr">
        <is>
          <t>Utilitas</t>
        </is>
      </c>
      <c r="C26" s="23" t="n">
        <v>3</v>
      </c>
      <c r="D26" s="24" t="n">
        <v>43460000</v>
      </c>
      <c r="E26" s="24" t="n">
        <v>39160000</v>
      </c>
    </row>
    <row r="27">
      <c r="A27" s="22" t="inlineStr">
        <is>
          <t>Operasional</t>
        </is>
      </c>
      <c r="B27" s="22" t="inlineStr">
        <is>
          <t>Utilitas</t>
        </is>
      </c>
      <c r="C27" s="23" t="n">
        <v>4</v>
      </c>
      <c r="D27" s="24" t="n">
        <v>38540000</v>
      </c>
      <c r="E27" s="24" t="n">
        <v>46620000</v>
      </c>
    </row>
    <row r="28">
      <c r="A28" s="22" t="inlineStr">
        <is>
          <t>Operasional</t>
        </is>
      </c>
      <c r="B28" s="22" t="inlineStr">
        <is>
          <t>Utilitas</t>
        </is>
      </c>
      <c r="C28" s="23" t="n">
        <v>5</v>
      </c>
      <c r="D28" s="24" t="n">
        <v>40180000</v>
      </c>
      <c r="E28" s="24" t="n"/>
    </row>
    <row r="29">
      <c r="A29" s="22" t="inlineStr">
        <is>
          <t>Operasional</t>
        </is>
      </c>
      <c r="B29" s="22" t="inlineStr">
        <is>
          <t>Utilitas</t>
        </is>
      </c>
      <c r="C29" s="23" t="n">
        <v>6</v>
      </c>
      <c r="D29" s="24" t="n">
        <v>41820000</v>
      </c>
      <c r="E29" s="24" t="n"/>
    </row>
    <row r="30">
      <c r="A30" s="22" t="inlineStr">
        <is>
          <t>Operasional</t>
        </is>
      </c>
      <c r="B30" s="22" t="inlineStr">
        <is>
          <t>Perlengkapan</t>
        </is>
      </c>
      <c r="C30" s="23" t="n">
        <v>1</v>
      </c>
      <c r="D30" s="24" t="n">
        <v>37240000</v>
      </c>
      <c r="E30" s="24" t="n">
        <v>43900000</v>
      </c>
    </row>
    <row r="31">
      <c r="A31" s="22" t="inlineStr">
        <is>
          <t>Operasional</t>
        </is>
      </c>
      <c r="B31" s="22" t="inlineStr">
        <is>
          <t>Perlengkapan</t>
        </is>
      </c>
      <c r="C31" s="23" t="n">
        <v>2</v>
      </c>
      <c r="D31" s="24" t="n">
        <v>38760000</v>
      </c>
      <c r="E31" s="24" t="n">
        <v>34810000</v>
      </c>
    </row>
    <row r="32">
      <c r="A32" s="22" t="inlineStr">
        <is>
          <t>Operasional</t>
        </is>
      </c>
      <c r="B32" s="22" t="inlineStr">
        <is>
          <t>Perlengkapan</t>
        </is>
      </c>
      <c r="C32" s="23" t="n">
        <v>3</v>
      </c>
      <c r="D32" s="24" t="n">
        <v>40280000</v>
      </c>
      <c r="E32" s="24" t="n">
        <v>36180000</v>
      </c>
    </row>
    <row r="33">
      <c r="A33" s="22" t="inlineStr">
        <is>
          <t>Operasional</t>
        </is>
      </c>
      <c r="B33" s="22" t="inlineStr">
        <is>
          <t>Perlengkapan</t>
        </is>
      </c>
      <c r="C33" s="23" t="n">
        <v>4</v>
      </c>
      <c r="D33" s="24" t="n">
        <v>35720000</v>
      </c>
      <c r="E33" s="24" t="n">
        <v>32680000</v>
      </c>
    </row>
    <row r="34">
      <c r="A34" s="22" t="inlineStr">
        <is>
          <t>Operasional</t>
        </is>
      </c>
      <c r="B34" s="22" t="inlineStr">
        <is>
          <t>Perlengkapan</t>
        </is>
      </c>
      <c r="C34" s="23" t="n">
        <v>5</v>
      </c>
      <c r="D34" s="24" t="n">
        <v>37240000</v>
      </c>
      <c r="E34" s="24" t="n"/>
    </row>
    <row r="35">
      <c r="A35" s="22" t="inlineStr">
        <is>
          <t>Operasional</t>
        </is>
      </c>
      <c r="B35" s="22" t="inlineStr">
        <is>
          <t>Perlengkapan</t>
        </is>
      </c>
      <c r="C35" s="23" t="n">
        <v>6</v>
      </c>
      <c r="D35" s="24" t="n">
        <v>38760000</v>
      </c>
      <c r="E35" s="24" t="n"/>
    </row>
    <row r="36">
      <c r="A36" s="22" t="inlineStr">
        <is>
          <t>Operasional</t>
        </is>
      </c>
      <c r="B36" s="22" t="inlineStr">
        <is>
          <t>Pelatihan</t>
        </is>
      </c>
      <c r="C36" s="23" t="n">
        <v>1</v>
      </c>
      <c r="D36" s="24" t="n">
        <v>38220000</v>
      </c>
      <c r="E36" s="24" t="n">
        <v>45580000</v>
      </c>
    </row>
    <row r="37">
      <c r="A37" s="22" t="inlineStr">
        <is>
          <t>Operasional</t>
        </is>
      </c>
      <c r="B37" s="22" t="inlineStr">
        <is>
          <t>Pelatihan</t>
        </is>
      </c>
      <c r="C37" s="23" t="n">
        <v>2</v>
      </c>
      <c r="D37" s="24" t="n">
        <v>39780000</v>
      </c>
      <c r="E37" s="24" t="n">
        <v>39060000</v>
      </c>
    </row>
    <row r="38">
      <c r="A38" s="22" t="inlineStr">
        <is>
          <t>Operasional</t>
        </is>
      </c>
      <c r="B38" s="22" t="inlineStr">
        <is>
          <t>Pelatihan</t>
        </is>
      </c>
      <c r="C38" s="23" t="n">
        <v>3</v>
      </c>
      <c r="D38" s="24" t="n">
        <v>41340000</v>
      </c>
      <c r="E38" s="24" t="n">
        <v>43550000</v>
      </c>
    </row>
    <row r="39">
      <c r="A39" s="22" t="inlineStr">
        <is>
          <t>Operasional</t>
        </is>
      </c>
      <c r="B39" s="22" t="inlineStr">
        <is>
          <t>Pelatihan</t>
        </is>
      </c>
      <c r="C39" s="23" t="n">
        <v>4</v>
      </c>
      <c r="D39" s="24" t="n">
        <v>36660000</v>
      </c>
      <c r="E39" s="24" t="n">
        <v>38920000</v>
      </c>
    </row>
    <row r="40">
      <c r="A40" s="22" t="inlineStr">
        <is>
          <t>Operasional</t>
        </is>
      </c>
      <c r="B40" s="22" t="inlineStr">
        <is>
          <t>Pelatihan</t>
        </is>
      </c>
      <c r="C40" s="23" t="n">
        <v>5</v>
      </c>
      <c r="D40" s="24" t="n">
        <v>38220000</v>
      </c>
      <c r="E40" s="24" t="n"/>
    </row>
    <row r="41">
      <c r="A41" s="22" t="inlineStr">
        <is>
          <t>Operasional</t>
        </is>
      </c>
      <c r="B41" s="22" t="inlineStr">
        <is>
          <t>Pelatihan</t>
        </is>
      </c>
      <c r="C41" s="23" t="n">
        <v>6</v>
      </c>
      <c r="D41" s="24" t="n">
        <v>39780000</v>
      </c>
      <c r="E41" s="24" t="n"/>
    </row>
    <row r="42">
      <c r="A42" s="22" t="inlineStr">
        <is>
          <t>Pemasaran</t>
        </is>
      </c>
      <c r="B42" s="22" t="inlineStr">
        <is>
          <t>Gaji &amp; Tunjangan</t>
        </is>
      </c>
      <c r="C42" s="23" t="n">
        <v>1</v>
      </c>
      <c r="D42" s="24" t="n">
        <v>32340000</v>
      </c>
      <c r="E42" s="24" t="n">
        <v>36700000</v>
      </c>
    </row>
    <row r="43">
      <c r="A43" s="22" t="inlineStr">
        <is>
          <t>Pemasaran</t>
        </is>
      </c>
      <c r="B43" s="22" t="inlineStr">
        <is>
          <t>Gaji &amp; Tunjangan</t>
        </is>
      </c>
      <c r="C43" s="23" t="n">
        <v>2</v>
      </c>
      <c r="D43" s="24" t="n">
        <v>33660000</v>
      </c>
      <c r="E43" s="24" t="n">
        <v>33800000</v>
      </c>
    </row>
    <row r="44">
      <c r="A44" s="22" t="inlineStr">
        <is>
          <t>Pemasaran</t>
        </is>
      </c>
      <c r="B44" s="22" t="inlineStr">
        <is>
          <t>Gaji &amp; Tunjangan</t>
        </is>
      </c>
      <c r="C44" s="23" t="n">
        <v>3</v>
      </c>
      <c r="D44" s="24" t="n">
        <v>34980000</v>
      </c>
      <c r="E44" s="24" t="n">
        <v>37330000</v>
      </c>
    </row>
    <row r="45">
      <c r="A45" s="22" t="inlineStr">
        <is>
          <t>Pemasaran</t>
        </is>
      </c>
      <c r="B45" s="22" t="inlineStr">
        <is>
          <t>Gaji &amp; Tunjangan</t>
        </is>
      </c>
      <c r="C45" s="23" t="n">
        <v>4</v>
      </c>
      <c r="D45" s="24" t="n">
        <v>31020000</v>
      </c>
      <c r="E45" s="24" t="n">
        <v>35000000</v>
      </c>
    </row>
    <row r="46">
      <c r="A46" s="22" t="inlineStr">
        <is>
          <t>Pemasaran</t>
        </is>
      </c>
      <c r="B46" s="22" t="inlineStr">
        <is>
          <t>Gaji &amp; Tunjangan</t>
        </is>
      </c>
      <c r="C46" s="23" t="n">
        <v>5</v>
      </c>
      <c r="D46" s="24" t="n">
        <v>32340000</v>
      </c>
      <c r="E46" s="24" t="n"/>
    </row>
    <row r="47">
      <c r="A47" s="22" t="inlineStr">
        <is>
          <t>Pemasaran</t>
        </is>
      </c>
      <c r="B47" s="22" t="inlineStr">
        <is>
          <t>Gaji &amp; Tunjangan</t>
        </is>
      </c>
      <c r="C47" s="23" t="n">
        <v>6</v>
      </c>
      <c r="D47" s="24" t="n">
        <v>33660000</v>
      </c>
      <c r="E47" s="24" t="n"/>
    </row>
    <row r="48">
      <c r="A48" s="22" t="inlineStr">
        <is>
          <t>Pemasaran</t>
        </is>
      </c>
      <c r="B48" s="22" t="inlineStr">
        <is>
          <t>Perjalanan Dinas</t>
        </is>
      </c>
      <c r="C48" s="23" t="n">
        <v>1</v>
      </c>
      <c r="D48" s="24" t="n">
        <v>48020000</v>
      </c>
      <c r="E48" s="24" t="n">
        <v>51810000</v>
      </c>
    </row>
    <row r="49">
      <c r="A49" s="22" t="inlineStr">
        <is>
          <t>Pemasaran</t>
        </is>
      </c>
      <c r="B49" s="22" t="inlineStr">
        <is>
          <t>Perjalanan Dinas</t>
        </is>
      </c>
      <c r="C49" s="23" t="n">
        <v>2</v>
      </c>
      <c r="D49" s="24" t="n">
        <v>49980000</v>
      </c>
      <c r="E49" s="24" t="n">
        <v>52180000</v>
      </c>
    </row>
    <row r="50">
      <c r="A50" s="22" t="inlineStr">
        <is>
          <t>Pemasaran</t>
        </is>
      </c>
      <c r="B50" s="22" t="inlineStr">
        <is>
          <t>Perjalanan Dinas</t>
        </is>
      </c>
      <c r="C50" s="23" t="n">
        <v>3</v>
      </c>
      <c r="D50" s="24" t="n">
        <v>51940000</v>
      </c>
      <c r="E50" s="24" t="n">
        <v>44270000</v>
      </c>
    </row>
    <row r="51">
      <c r="A51" s="22" t="inlineStr">
        <is>
          <t>Pemasaran</t>
        </is>
      </c>
      <c r="B51" s="22" t="inlineStr">
        <is>
          <t>Perjalanan Dinas</t>
        </is>
      </c>
      <c r="C51" s="23" t="n">
        <v>4</v>
      </c>
      <c r="D51" s="24" t="n">
        <v>46060000</v>
      </c>
      <c r="E51" s="24" t="n">
        <v>48900000</v>
      </c>
    </row>
    <row r="52">
      <c r="A52" s="22" t="inlineStr">
        <is>
          <t>Pemasaran</t>
        </is>
      </c>
      <c r="B52" s="22" t="inlineStr">
        <is>
          <t>Perjalanan Dinas</t>
        </is>
      </c>
      <c r="C52" s="23" t="n">
        <v>5</v>
      </c>
      <c r="D52" s="24" t="n">
        <v>48020000</v>
      </c>
      <c r="E52" s="24" t="n"/>
    </row>
    <row r="53">
      <c r="A53" s="22" t="inlineStr">
        <is>
          <t>Pemasaran</t>
        </is>
      </c>
      <c r="B53" s="22" t="inlineStr">
        <is>
          <t>Perjalanan Dinas</t>
        </is>
      </c>
      <c r="C53" s="23" t="n">
        <v>6</v>
      </c>
      <c r="D53" s="24" t="n">
        <v>49980000</v>
      </c>
      <c r="E53" s="24" t="n"/>
    </row>
    <row r="54">
      <c r="A54" s="22" t="inlineStr">
        <is>
          <t>Pemasaran</t>
        </is>
      </c>
      <c r="B54" s="22" t="inlineStr">
        <is>
          <t>Pemasaran &amp; Iklan</t>
        </is>
      </c>
      <c r="C54" s="23" t="n">
        <v>1</v>
      </c>
      <c r="D54" s="24" t="n">
        <v>34300000</v>
      </c>
      <c r="E54" s="24" t="n">
        <v>29350000</v>
      </c>
    </row>
    <row r="55">
      <c r="A55" s="22" t="inlineStr">
        <is>
          <t>Pemasaran</t>
        </is>
      </c>
      <c r="B55" s="22" t="inlineStr">
        <is>
          <t>Pemasaran &amp; Iklan</t>
        </is>
      </c>
      <c r="C55" s="23" t="n">
        <v>2</v>
      </c>
      <c r="D55" s="24" t="n">
        <v>35700000</v>
      </c>
      <c r="E55" s="24" t="n">
        <v>35850000</v>
      </c>
    </row>
    <row r="56">
      <c r="A56" s="22" t="inlineStr">
        <is>
          <t>Pemasaran</t>
        </is>
      </c>
      <c r="B56" s="22" t="inlineStr">
        <is>
          <t>Pemasaran &amp; Iklan</t>
        </is>
      </c>
      <c r="C56" s="23" t="n">
        <v>3</v>
      </c>
      <c r="D56" s="24" t="n">
        <v>37100000</v>
      </c>
      <c r="E56" s="24" t="n">
        <v>41200000</v>
      </c>
    </row>
    <row r="57">
      <c r="A57" s="22" t="inlineStr">
        <is>
          <t>Pemasaran</t>
        </is>
      </c>
      <c r="B57" s="22" t="inlineStr">
        <is>
          <t>Pemasaran &amp; Iklan</t>
        </is>
      </c>
      <c r="C57" s="23" t="n">
        <v>4</v>
      </c>
      <c r="D57" s="24" t="n">
        <v>32900000</v>
      </c>
      <c r="E57" s="24" t="n">
        <v>37460000</v>
      </c>
    </row>
    <row r="58">
      <c r="A58" s="22" t="inlineStr">
        <is>
          <t>Pemasaran</t>
        </is>
      </c>
      <c r="B58" s="22" t="inlineStr">
        <is>
          <t>Pemasaran &amp; Iklan</t>
        </is>
      </c>
      <c r="C58" s="23" t="n">
        <v>5</v>
      </c>
      <c r="D58" s="24" t="n">
        <v>34300000</v>
      </c>
      <c r="E58" s="24" t="n"/>
    </row>
    <row r="59">
      <c r="A59" s="22" t="inlineStr">
        <is>
          <t>Pemasaran</t>
        </is>
      </c>
      <c r="B59" s="22" t="inlineStr">
        <is>
          <t>Pemasaran &amp; Iklan</t>
        </is>
      </c>
      <c r="C59" s="23" t="n">
        <v>6</v>
      </c>
      <c r="D59" s="24" t="n">
        <v>35700000</v>
      </c>
      <c r="E59" s="24" t="n"/>
    </row>
    <row r="60">
      <c r="A60" s="22" t="inlineStr">
        <is>
          <t>Pemasaran</t>
        </is>
      </c>
      <c r="B60" s="22" t="inlineStr">
        <is>
          <t>Utilitas</t>
        </is>
      </c>
      <c r="C60" s="23" t="n">
        <v>1</v>
      </c>
      <c r="D60" s="24" t="n">
        <v>36260000</v>
      </c>
      <c r="E60" s="24" t="n">
        <v>34140000</v>
      </c>
    </row>
    <row r="61">
      <c r="A61" s="22" t="inlineStr">
        <is>
          <t>Pemasaran</t>
        </is>
      </c>
      <c r="B61" s="22" t="inlineStr">
        <is>
          <t>Utilitas</t>
        </is>
      </c>
      <c r="C61" s="23" t="n">
        <v>2</v>
      </c>
      <c r="D61" s="24" t="n">
        <v>37740000</v>
      </c>
      <c r="E61" s="24" t="n">
        <v>41320000</v>
      </c>
    </row>
    <row r="62">
      <c r="A62" s="22" t="inlineStr">
        <is>
          <t>Pemasaran</t>
        </is>
      </c>
      <c r="B62" s="22" t="inlineStr">
        <is>
          <t>Utilitas</t>
        </is>
      </c>
      <c r="C62" s="23" t="n">
        <v>3</v>
      </c>
      <c r="D62" s="24" t="n">
        <v>39220000</v>
      </c>
      <c r="E62" s="24" t="n">
        <v>32860000</v>
      </c>
    </row>
    <row r="63">
      <c r="A63" s="22" t="inlineStr">
        <is>
          <t>Pemasaran</t>
        </is>
      </c>
      <c r="B63" s="22" t="inlineStr">
        <is>
          <t>Utilitas</t>
        </is>
      </c>
      <c r="C63" s="23" t="n">
        <v>4</v>
      </c>
      <c r="D63" s="24" t="n">
        <v>34780000</v>
      </c>
      <c r="E63" s="24" t="n">
        <v>31650000</v>
      </c>
    </row>
    <row r="64">
      <c r="A64" s="22" t="inlineStr">
        <is>
          <t>Pemasaran</t>
        </is>
      </c>
      <c r="B64" s="22" t="inlineStr">
        <is>
          <t>Utilitas</t>
        </is>
      </c>
      <c r="C64" s="23" t="n">
        <v>5</v>
      </c>
      <c r="D64" s="24" t="n">
        <v>36260000</v>
      </c>
      <c r="E64" s="24" t="n"/>
    </row>
    <row r="65">
      <c r="A65" s="22" t="inlineStr">
        <is>
          <t>Pemasaran</t>
        </is>
      </c>
      <c r="B65" s="22" t="inlineStr">
        <is>
          <t>Utilitas</t>
        </is>
      </c>
      <c r="C65" s="23" t="n">
        <v>6</v>
      </c>
      <c r="D65" s="24" t="n">
        <v>37740000</v>
      </c>
      <c r="E65" s="24" t="n"/>
    </row>
    <row r="66">
      <c r="A66" s="22" t="inlineStr">
        <is>
          <t>Pemasaran</t>
        </is>
      </c>
      <c r="B66" s="22" t="inlineStr">
        <is>
          <t>Perlengkapan</t>
        </is>
      </c>
      <c r="C66" s="23" t="n">
        <v>1</v>
      </c>
      <c r="D66" s="24" t="n">
        <v>21560000</v>
      </c>
      <c r="E66" s="24" t="n">
        <v>26310000</v>
      </c>
    </row>
    <row r="67">
      <c r="A67" s="22" t="inlineStr">
        <is>
          <t>Pemasaran</t>
        </is>
      </c>
      <c r="B67" s="22" t="inlineStr">
        <is>
          <t>Perlengkapan</t>
        </is>
      </c>
      <c r="C67" s="23" t="n">
        <v>2</v>
      </c>
      <c r="D67" s="24" t="n">
        <v>22440000</v>
      </c>
      <c r="E67" s="24" t="n">
        <v>25590000</v>
      </c>
    </row>
    <row r="68">
      <c r="A68" s="22" t="inlineStr">
        <is>
          <t>Pemasaran</t>
        </is>
      </c>
      <c r="B68" s="22" t="inlineStr">
        <is>
          <t>Perlengkapan</t>
        </is>
      </c>
      <c r="C68" s="23" t="n">
        <v>3</v>
      </c>
      <c r="D68" s="24" t="n">
        <v>23320000</v>
      </c>
      <c r="E68" s="24" t="n">
        <v>27860000</v>
      </c>
    </row>
    <row r="69">
      <c r="A69" s="22" t="inlineStr">
        <is>
          <t>Pemasaran</t>
        </is>
      </c>
      <c r="B69" s="22" t="inlineStr">
        <is>
          <t>Perlengkapan</t>
        </is>
      </c>
      <c r="C69" s="23" t="n">
        <v>4</v>
      </c>
      <c r="D69" s="24" t="n">
        <v>20680000</v>
      </c>
      <c r="E69" s="24" t="n">
        <v>18820000</v>
      </c>
    </row>
    <row r="70">
      <c r="A70" s="22" t="inlineStr">
        <is>
          <t>Pemasaran</t>
        </is>
      </c>
      <c r="B70" s="22" t="inlineStr">
        <is>
          <t>Perlengkapan</t>
        </is>
      </c>
      <c r="C70" s="23" t="n">
        <v>5</v>
      </c>
      <c r="D70" s="24" t="n">
        <v>21560000</v>
      </c>
      <c r="E70" s="24" t="n"/>
    </row>
    <row r="71">
      <c r="A71" s="22" t="inlineStr">
        <is>
          <t>Pemasaran</t>
        </is>
      </c>
      <c r="B71" s="22" t="inlineStr">
        <is>
          <t>Perlengkapan</t>
        </is>
      </c>
      <c r="C71" s="23" t="n">
        <v>6</v>
      </c>
      <c r="D71" s="24" t="n">
        <v>22440000</v>
      </c>
      <c r="E71" s="24" t="n"/>
    </row>
    <row r="72">
      <c r="A72" s="22" t="inlineStr">
        <is>
          <t>Pemasaran</t>
        </is>
      </c>
      <c r="B72" s="22" t="inlineStr">
        <is>
          <t>Pelatihan</t>
        </is>
      </c>
      <c r="C72" s="23" t="n">
        <v>1</v>
      </c>
      <c r="D72" s="24" t="n">
        <v>42140000</v>
      </c>
      <c r="E72" s="24" t="n">
        <v>39420000</v>
      </c>
    </row>
    <row r="73">
      <c r="A73" s="22" t="inlineStr">
        <is>
          <t>Pemasaran</t>
        </is>
      </c>
      <c r="B73" s="22" t="inlineStr">
        <is>
          <t>Pelatihan</t>
        </is>
      </c>
      <c r="C73" s="23" t="n">
        <v>2</v>
      </c>
      <c r="D73" s="24" t="n">
        <v>43860000</v>
      </c>
      <c r="E73" s="24" t="n">
        <v>46830000</v>
      </c>
    </row>
    <row r="74">
      <c r="A74" s="22" t="inlineStr">
        <is>
          <t>Pemasaran</t>
        </is>
      </c>
      <c r="B74" s="22" t="inlineStr">
        <is>
          <t>Pelatihan</t>
        </is>
      </c>
      <c r="C74" s="23" t="n">
        <v>3</v>
      </c>
      <c r="D74" s="24" t="n">
        <v>45580000</v>
      </c>
      <c r="E74" s="24" t="n">
        <v>46640000</v>
      </c>
    </row>
    <row r="75">
      <c r="A75" s="22" t="inlineStr">
        <is>
          <t>Pemasaran</t>
        </is>
      </c>
      <c r="B75" s="22" t="inlineStr">
        <is>
          <t>Pelatihan</t>
        </is>
      </c>
      <c r="C75" s="23" t="n">
        <v>4</v>
      </c>
      <c r="D75" s="24" t="n">
        <v>40420000</v>
      </c>
      <c r="E75" s="24" t="n">
        <v>42100000</v>
      </c>
    </row>
    <row r="76">
      <c r="A76" s="22" t="inlineStr">
        <is>
          <t>Pemasaran</t>
        </is>
      </c>
      <c r="B76" s="22" t="inlineStr">
        <is>
          <t>Pelatihan</t>
        </is>
      </c>
      <c r="C76" s="23" t="n">
        <v>5</v>
      </c>
      <c r="D76" s="24" t="n">
        <v>42140000</v>
      </c>
      <c r="E76" s="24" t="n"/>
    </row>
    <row r="77">
      <c r="A77" s="22" t="inlineStr">
        <is>
          <t>Pemasaran</t>
        </is>
      </c>
      <c r="B77" s="22" t="inlineStr">
        <is>
          <t>Pelatihan</t>
        </is>
      </c>
      <c r="C77" s="23" t="n">
        <v>6</v>
      </c>
      <c r="D77" s="24" t="n">
        <v>43860000</v>
      </c>
      <c r="E77" s="24" t="n"/>
    </row>
    <row r="78">
      <c r="A78" s="22" t="inlineStr">
        <is>
          <t>Keuangan</t>
        </is>
      </c>
      <c r="B78" s="22" t="inlineStr">
        <is>
          <t>Gaji &amp; Tunjangan</t>
        </is>
      </c>
      <c r="C78" s="23" t="n">
        <v>1</v>
      </c>
      <c r="D78" s="24" t="n">
        <v>8820000</v>
      </c>
      <c r="E78" s="24" t="n">
        <v>10280000</v>
      </c>
    </row>
    <row r="79">
      <c r="A79" s="22" t="inlineStr">
        <is>
          <t>Keuangan</t>
        </is>
      </c>
      <c r="B79" s="22" t="inlineStr">
        <is>
          <t>Gaji &amp; Tunjangan</t>
        </is>
      </c>
      <c r="C79" s="23" t="n">
        <v>2</v>
      </c>
      <c r="D79" s="24" t="n">
        <v>9180000</v>
      </c>
      <c r="E79" s="24" t="n">
        <v>8120000</v>
      </c>
    </row>
    <row r="80">
      <c r="A80" s="22" t="inlineStr">
        <is>
          <t>Keuangan</t>
        </is>
      </c>
      <c r="B80" s="22" t="inlineStr">
        <is>
          <t>Gaji &amp; Tunjangan</t>
        </is>
      </c>
      <c r="C80" s="23" t="n">
        <v>3</v>
      </c>
      <c r="D80" s="24" t="n">
        <v>9540000</v>
      </c>
      <c r="E80" s="24" t="n">
        <v>8810000</v>
      </c>
    </row>
    <row r="81">
      <c r="A81" s="22" t="inlineStr">
        <is>
          <t>Keuangan</t>
        </is>
      </c>
      <c r="B81" s="22" t="inlineStr">
        <is>
          <t>Gaji &amp; Tunjangan</t>
        </is>
      </c>
      <c r="C81" s="23" t="n">
        <v>4</v>
      </c>
      <c r="D81" s="24" t="n">
        <v>8460000</v>
      </c>
      <c r="E81" s="24" t="n">
        <v>8750000</v>
      </c>
    </row>
    <row r="82">
      <c r="A82" s="22" t="inlineStr">
        <is>
          <t>Keuangan</t>
        </is>
      </c>
      <c r="B82" s="22" t="inlineStr">
        <is>
          <t>Gaji &amp; Tunjangan</t>
        </is>
      </c>
      <c r="C82" s="23" t="n">
        <v>5</v>
      </c>
      <c r="D82" s="24" t="n">
        <v>8820000</v>
      </c>
      <c r="E82" s="24" t="n"/>
    </row>
    <row r="83">
      <c r="A83" s="22" t="inlineStr">
        <is>
          <t>Keuangan</t>
        </is>
      </c>
      <c r="B83" s="22" t="inlineStr">
        <is>
          <t>Gaji &amp; Tunjangan</t>
        </is>
      </c>
      <c r="C83" s="23" t="n">
        <v>6</v>
      </c>
      <c r="D83" s="24" t="n">
        <v>9180000</v>
      </c>
      <c r="E83" s="24" t="n"/>
    </row>
    <row r="84">
      <c r="A84" s="22" t="inlineStr">
        <is>
          <t>Keuangan</t>
        </is>
      </c>
      <c r="B84" s="22" t="inlineStr">
        <is>
          <t>Perjalanan Dinas</t>
        </is>
      </c>
      <c r="C84" s="23" t="n">
        <v>1</v>
      </c>
      <c r="D84" s="24" t="n">
        <v>11760000</v>
      </c>
      <c r="E84" s="24" t="n">
        <v>11240000</v>
      </c>
    </row>
    <row r="85">
      <c r="A85" s="22" t="inlineStr">
        <is>
          <t>Keuangan</t>
        </is>
      </c>
      <c r="B85" s="22" t="inlineStr">
        <is>
          <t>Perjalanan Dinas</t>
        </is>
      </c>
      <c r="C85" s="23" t="n">
        <v>2</v>
      </c>
      <c r="D85" s="24" t="n">
        <v>12240000</v>
      </c>
      <c r="E85" s="24" t="n">
        <v>13250000</v>
      </c>
    </row>
    <row r="86">
      <c r="A86" s="22" t="inlineStr">
        <is>
          <t>Keuangan</t>
        </is>
      </c>
      <c r="B86" s="22" t="inlineStr">
        <is>
          <t>Perjalanan Dinas</t>
        </is>
      </c>
      <c r="C86" s="23" t="n">
        <v>3</v>
      </c>
      <c r="D86" s="24" t="n">
        <v>12720000</v>
      </c>
      <c r="E86" s="24" t="n">
        <v>13290000</v>
      </c>
    </row>
    <row r="87">
      <c r="A87" s="22" t="inlineStr">
        <is>
          <t>Keuangan</t>
        </is>
      </c>
      <c r="B87" s="22" t="inlineStr">
        <is>
          <t>Perjalanan Dinas</t>
        </is>
      </c>
      <c r="C87" s="23" t="n">
        <v>4</v>
      </c>
      <c r="D87" s="24" t="n">
        <v>11280000</v>
      </c>
      <c r="E87" s="24" t="n">
        <v>10380000</v>
      </c>
    </row>
    <row r="88">
      <c r="A88" s="22" t="inlineStr">
        <is>
          <t>Keuangan</t>
        </is>
      </c>
      <c r="B88" s="22" t="inlineStr">
        <is>
          <t>Perjalanan Dinas</t>
        </is>
      </c>
      <c r="C88" s="23" t="n">
        <v>5</v>
      </c>
      <c r="D88" s="24" t="n">
        <v>11760000</v>
      </c>
      <c r="E88" s="24" t="n"/>
    </row>
    <row r="89">
      <c r="A89" s="22" t="inlineStr">
        <is>
          <t>Keuangan</t>
        </is>
      </c>
      <c r="B89" s="22" t="inlineStr">
        <is>
          <t>Perjalanan Dinas</t>
        </is>
      </c>
      <c r="C89" s="23" t="n">
        <v>6</v>
      </c>
      <c r="D89" s="24" t="n">
        <v>12240000</v>
      </c>
      <c r="E89" s="24" t="n"/>
    </row>
    <row r="90">
      <c r="A90" s="22" t="inlineStr">
        <is>
          <t>Keuangan</t>
        </is>
      </c>
      <c r="B90" s="22" t="inlineStr">
        <is>
          <t>Pemasaran &amp; Iklan</t>
        </is>
      </c>
      <c r="C90" s="23" t="n">
        <v>1</v>
      </c>
      <c r="D90" s="24" t="n">
        <v>32340000</v>
      </c>
      <c r="E90" s="24" t="n">
        <v>32510000</v>
      </c>
    </row>
    <row r="91">
      <c r="A91" s="22" t="inlineStr">
        <is>
          <t>Keuangan</t>
        </is>
      </c>
      <c r="B91" s="22" t="inlineStr">
        <is>
          <t>Pemasaran &amp; Iklan</t>
        </is>
      </c>
      <c r="C91" s="23" t="n">
        <v>2</v>
      </c>
      <c r="D91" s="24" t="n">
        <v>33660000</v>
      </c>
      <c r="E91" s="24" t="n">
        <v>36560000</v>
      </c>
    </row>
    <row r="92">
      <c r="A92" s="22" t="inlineStr">
        <is>
          <t>Keuangan</t>
        </is>
      </c>
      <c r="B92" s="22" t="inlineStr">
        <is>
          <t>Pemasaran &amp; Iklan</t>
        </is>
      </c>
      <c r="C92" s="23" t="n">
        <v>3</v>
      </c>
      <c r="D92" s="24" t="n">
        <v>34980000</v>
      </c>
      <c r="E92" s="24" t="n">
        <v>31990000</v>
      </c>
    </row>
    <row r="93">
      <c r="A93" s="22" t="inlineStr">
        <is>
          <t>Keuangan</t>
        </is>
      </c>
      <c r="B93" s="22" t="inlineStr">
        <is>
          <t>Pemasaran &amp; Iklan</t>
        </is>
      </c>
      <c r="C93" s="23" t="n">
        <v>4</v>
      </c>
      <c r="D93" s="24" t="n">
        <v>31020000</v>
      </c>
      <c r="E93" s="24" t="n">
        <v>30780000</v>
      </c>
    </row>
    <row r="94">
      <c r="A94" s="22" t="inlineStr">
        <is>
          <t>Keuangan</t>
        </is>
      </c>
      <c r="B94" s="22" t="inlineStr">
        <is>
          <t>Pemasaran &amp; Iklan</t>
        </is>
      </c>
      <c r="C94" s="23" t="n">
        <v>5</v>
      </c>
      <c r="D94" s="24" t="n">
        <v>32340000</v>
      </c>
      <c r="E94" s="24" t="n"/>
    </row>
    <row r="95">
      <c r="A95" s="22" t="inlineStr">
        <is>
          <t>Keuangan</t>
        </is>
      </c>
      <c r="B95" s="22" t="inlineStr">
        <is>
          <t>Pemasaran &amp; Iklan</t>
        </is>
      </c>
      <c r="C95" s="23" t="n">
        <v>6</v>
      </c>
      <c r="D95" s="24" t="n">
        <v>33660000</v>
      </c>
      <c r="E95" s="24" t="n"/>
    </row>
    <row r="96">
      <c r="A96" s="22" t="inlineStr">
        <is>
          <t>Keuangan</t>
        </is>
      </c>
      <c r="B96" s="22" t="inlineStr">
        <is>
          <t>Utilitas</t>
        </is>
      </c>
      <c r="C96" s="23" t="n">
        <v>1</v>
      </c>
      <c r="D96" s="24" t="n">
        <v>5880000</v>
      </c>
      <c r="E96" s="24" t="n">
        <v>7110000</v>
      </c>
    </row>
    <row r="97">
      <c r="A97" s="22" t="inlineStr">
        <is>
          <t>Keuangan</t>
        </is>
      </c>
      <c r="B97" s="22" t="inlineStr">
        <is>
          <t>Utilitas</t>
        </is>
      </c>
      <c r="C97" s="23" t="n">
        <v>2</v>
      </c>
      <c r="D97" s="24" t="n">
        <v>6120000</v>
      </c>
      <c r="E97" s="24" t="n">
        <v>4770000</v>
      </c>
    </row>
    <row r="98">
      <c r="A98" s="22" t="inlineStr">
        <is>
          <t>Keuangan</t>
        </is>
      </c>
      <c r="B98" s="22" t="inlineStr">
        <is>
          <t>Utilitas</t>
        </is>
      </c>
      <c r="C98" s="23" t="n">
        <v>3</v>
      </c>
      <c r="D98" s="24" t="n">
        <v>6360000</v>
      </c>
      <c r="E98" s="24" t="n">
        <v>6020000</v>
      </c>
    </row>
    <row r="99">
      <c r="A99" s="22" t="inlineStr">
        <is>
          <t>Keuangan</t>
        </is>
      </c>
      <c r="B99" s="22" t="inlineStr">
        <is>
          <t>Utilitas</t>
        </is>
      </c>
      <c r="C99" s="23" t="n">
        <v>4</v>
      </c>
      <c r="D99" s="24" t="n">
        <v>5640000</v>
      </c>
      <c r="E99" s="24" t="n">
        <v>6230000</v>
      </c>
    </row>
    <row r="100">
      <c r="A100" s="22" t="inlineStr">
        <is>
          <t>Keuangan</t>
        </is>
      </c>
      <c r="B100" s="22" t="inlineStr">
        <is>
          <t>Utilitas</t>
        </is>
      </c>
      <c r="C100" s="23" t="n">
        <v>5</v>
      </c>
      <c r="D100" s="24" t="n">
        <v>5880000</v>
      </c>
      <c r="E100" s="24" t="n"/>
    </row>
    <row r="101">
      <c r="A101" s="22" t="inlineStr">
        <is>
          <t>Keuangan</t>
        </is>
      </c>
      <c r="B101" s="22" t="inlineStr">
        <is>
          <t>Utilitas</t>
        </is>
      </c>
      <c r="C101" s="23" t="n">
        <v>6</v>
      </c>
      <c r="D101" s="24" t="n">
        <v>6120000</v>
      </c>
      <c r="E101" s="24" t="n"/>
    </row>
    <row r="102">
      <c r="A102" s="22" t="inlineStr">
        <is>
          <t>Keuangan</t>
        </is>
      </c>
      <c r="B102" s="22" t="inlineStr">
        <is>
          <t>Perlengkapan</t>
        </is>
      </c>
      <c r="C102" s="23" t="n">
        <v>1</v>
      </c>
      <c r="D102" s="24" t="n">
        <v>9800000</v>
      </c>
      <c r="E102" s="24" t="n">
        <v>10250000</v>
      </c>
    </row>
    <row r="103">
      <c r="A103" s="22" t="inlineStr">
        <is>
          <t>Keuangan</t>
        </is>
      </c>
      <c r="B103" s="22" t="inlineStr">
        <is>
          <t>Perlengkapan</t>
        </is>
      </c>
      <c r="C103" s="23" t="n">
        <v>2</v>
      </c>
      <c r="D103" s="24" t="n">
        <v>10200000</v>
      </c>
      <c r="E103" s="24" t="n">
        <v>9380000</v>
      </c>
    </row>
    <row r="104">
      <c r="A104" s="22" t="inlineStr">
        <is>
          <t>Keuangan</t>
        </is>
      </c>
      <c r="B104" s="22" t="inlineStr">
        <is>
          <t>Perlengkapan</t>
        </is>
      </c>
      <c r="C104" s="23" t="n">
        <v>3</v>
      </c>
      <c r="D104" s="24" t="n">
        <v>10600000</v>
      </c>
      <c r="E104" s="24" t="n">
        <v>11440000</v>
      </c>
    </row>
    <row r="105">
      <c r="A105" s="22" t="inlineStr">
        <is>
          <t>Keuangan</t>
        </is>
      </c>
      <c r="B105" s="22" t="inlineStr">
        <is>
          <t>Perlengkapan</t>
        </is>
      </c>
      <c r="C105" s="23" t="n">
        <v>4</v>
      </c>
      <c r="D105" s="24" t="n">
        <v>9400000</v>
      </c>
      <c r="E105" s="24" t="n">
        <v>10910000</v>
      </c>
    </row>
    <row r="106">
      <c r="A106" s="22" t="inlineStr">
        <is>
          <t>Keuangan</t>
        </is>
      </c>
      <c r="B106" s="22" t="inlineStr">
        <is>
          <t>Perlengkapan</t>
        </is>
      </c>
      <c r="C106" s="23" t="n">
        <v>5</v>
      </c>
      <c r="D106" s="24" t="n">
        <v>9800000</v>
      </c>
      <c r="E106" s="24" t="n"/>
    </row>
    <row r="107">
      <c r="A107" s="22" t="inlineStr">
        <is>
          <t>Keuangan</t>
        </is>
      </c>
      <c r="B107" s="22" t="inlineStr">
        <is>
          <t>Perlengkapan</t>
        </is>
      </c>
      <c r="C107" s="23" t="n">
        <v>6</v>
      </c>
      <c r="D107" s="24" t="n">
        <v>10200000</v>
      </c>
      <c r="E107" s="24" t="n"/>
    </row>
    <row r="108">
      <c r="A108" s="22" t="inlineStr">
        <is>
          <t>Keuangan</t>
        </is>
      </c>
      <c r="B108" s="22" t="inlineStr">
        <is>
          <t>Pelatihan</t>
        </is>
      </c>
      <c r="C108" s="23" t="n">
        <v>1</v>
      </c>
      <c r="D108" s="24" t="n">
        <v>11760000</v>
      </c>
      <c r="E108" s="24" t="n">
        <v>12110000</v>
      </c>
    </row>
    <row r="109">
      <c r="A109" s="22" t="inlineStr">
        <is>
          <t>Keuangan</t>
        </is>
      </c>
      <c r="B109" s="22" t="inlineStr">
        <is>
          <t>Pelatihan</t>
        </is>
      </c>
      <c r="C109" s="23" t="n">
        <v>2</v>
      </c>
      <c r="D109" s="24" t="n">
        <v>12240000</v>
      </c>
      <c r="E109" s="24" t="n">
        <v>12790000</v>
      </c>
    </row>
    <row r="110">
      <c r="A110" s="22" t="inlineStr">
        <is>
          <t>Keuangan</t>
        </is>
      </c>
      <c r="B110" s="22" t="inlineStr">
        <is>
          <t>Pelatihan</t>
        </is>
      </c>
      <c r="C110" s="23" t="n">
        <v>3</v>
      </c>
      <c r="D110" s="24" t="n">
        <v>12720000</v>
      </c>
      <c r="E110" s="24" t="n">
        <v>10960000</v>
      </c>
    </row>
    <row r="111">
      <c r="A111" s="22" t="inlineStr">
        <is>
          <t>Keuangan</t>
        </is>
      </c>
      <c r="B111" s="22" t="inlineStr">
        <is>
          <t>Pelatihan</t>
        </is>
      </c>
      <c r="C111" s="23" t="n">
        <v>4</v>
      </c>
      <c r="D111" s="24" t="n">
        <v>11280000</v>
      </c>
      <c r="E111" s="24" t="n">
        <v>11790000</v>
      </c>
    </row>
    <row r="112">
      <c r="A112" s="22" t="inlineStr">
        <is>
          <t>Keuangan</t>
        </is>
      </c>
      <c r="B112" s="22" t="inlineStr">
        <is>
          <t>Pelatihan</t>
        </is>
      </c>
      <c r="C112" s="23" t="n">
        <v>5</v>
      </c>
      <c r="D112" s="24" t="n">
        <v>11760000</v>
      </c>
      <c r="E112" s="24" t="n"/>
    </row>
    <row r="113">
      <c r="A113" s="22" t="inlineStr">
        <is>
          <t>Keuangan</t>
        </is>
      </c>
      <c r="B113" s="22" t="inlineStr">
        <is>
          <t>Pelatihan</t>
        </is>
      </c>
      <c r="C113" s="23" t="n">
        <v>6</v>
      </c>
      <c r="D113" s="24" t="n">
        <v>12240000</v>
      </c>
      <c r="E113" s="24" t="n"/>
    </row>
    <row r="114">
      <c r="A114" s="22" t="n"/>
      <c r="B114" s="22" t="n"/>
      <c r="C114" s="23" t="n"/>
      <c r="D114" s="24" t="n"/>
      <c r="E114" s="24" t="n"/>
    </row>
    <row r="115">
      <c r="A115" s="22" t="n"/>
      <c r="B115" s="22" t="n"/>
      <c r="C115" s="23" t="n"/>
      <c r="D115" s="24" t="n"/>
      <c r="E115" s="24" t="n"/>
    </row>
    <row r="116">
      <c r="A116" s="22" t="n"/>
      <c r="B116" s="22" t="n"/>
      <c r="C116" s="23" t="n"/>
      <c r="D116" s="24" t="n"/>
      <c r="E116" s="24" t="n"/>
    </row>
    <row r="117">
      <c r="A117" s="22" t="n"/>
      <c r="B117" s="22" t="n"/>
      <c r="C117" s="23" t="n"/>
      <c r="D117" s="24" t="n"/>
      <c r="E117" s="24" t="n"/>
    </row>
    <row r="118">
      <c r="A118" s="22" t="n"/>
      <c r="B118" s="22" t="n"/>
      <c r="C118" s="23" t="n"/>
      <c r="D118" s="24" t="n"/>
      <c r="E118" s="24" t="n"/>
    </row>
    <row r="119">
      <c r="A119" s="22" t="n"/>
      <c r="B119" s="22" t="n"/>
      <c r="C119" s="23" t="n"/>
      <c r="D119" s="24" t="n"/>
      <c r="E119" s="24" t="n"/>
    </row>
    <row r="120">
      <c r="A120" s="22" t="n"/>
      <c r="B120" s="22" t="n"/>
      <c r="C120" s="23" t="n"/>
      <c r="D120" s="24" t="n"/>
      <c r="E120" s="24" t="n"/>
    </row>
    <row r="121">
      <c r="A121" s="22" t="n"/>
      <c r="B121" s="22" t="n"/>
      <c r="C121" s="23" t="n"/>
      <c r="D121" s="24" t="n"/>
      <c r="E121" s="24" t="n"/>
    </row>
    <row r="122">
      <c r="A122" s="22" t="n"/>
      <c r="B122" s="22" t="n"/>
      <c r="C122" s="23" t="n"/>
      <c r="D122" s="24" t="n"/>
      <c r="E122" s="24" t="n"/>
    </row>
    <row r="123">
      <c r="A123" s="22" t="n"/>
      <c r="B123" s="22" t="n"/>
      <c r="C123" s="23" t="n"/>
      <c r="D123" s="24" t="n"/>
      <c r="E123" s="24" t="n"/>
    </row>
    <row r="124">
      <c r="A124" s="22" t="n"/>
      <c r="B124" s="22" t="n"/>
      <c r="C124" s="23" t="n"/>
      <c r="D124" s="24" t="n"/>
      <c r="E124" s="24" t="n"/>
    </row>
    <row r="125">
      <c r="A125" s="22" t="n"/>
      <c r="B125" s="22" t="n"/>
      <c r="C125" s="23" t="n"/>
      <c r="D125" s="24" t="n"/>
      <c r="E125" s="24" t="n"/>
    </row>
    <row r="126">
      <c r="A126" s="22" t="n"/>
      <c r="B126" s="22" t="n"/>
      <c r="C126" s="23" t="n"/>
      <c r="D126" s="24" t="n"/>
      <c r="E126" s="24" t="n"/>
    </row>
    <row r="127">
      <c r="A127" s="22" t="n"/>
      <c r="B127" s="22" t="n"/>
      <c r="C127" s="23" t="n"/>
      <c r="D127" s="24" t="n"/>
      <c r="E127" s="24" t="n"/>
    </row>
    <row r="128">
      <c r="A128" s="22" t="n"/>
      <c r="B128" s="22" t="n"/>
      <c r="C128" s="23" t="n"/>
      <c r="D128" s="24" t="n"/>
      <c r="E128" s="24" t="n"/>
    </row>
    <row r="129">
      <c r="A129" s="22" t="n"/>
      <c r="B129" s="22" t="n"/>
      <c r="C129" s="23" t="n"/>
      <c r="D129" s="24" t="n"/>
      <c r="E129" s="24" t="n"/>
    </row>
    <row r="130">
      <c r="A130" s="22" t="n"/>
      <c r="B130" s="22" t="n"/>
      <c r="C130" s="23" t="n"/>
      <c r="D130" s="24" t="n"/>
      <c r="E130" s="24" t="n"/>
    </row>
    <row r="131">
      <c r="A131" s="22" t="n"/>
      <c r="B131" s="22" t="n"/>
      <c r="C131" s="23" t="n"/>
      <c r="D131" s="24" t="n"/>
      <c r="E131" s="24" t="n"/>
    </row>
    <row r="132">
      <c r="A132" s="22" t="n"/>
      <c r="B132" s="22" t="n"/>
      <c r="C132" s="23" t="n"/>
      <c r="D132" s="24" t="n"/>
      <c r="E132" s="24" t="n"/>
    </row>
    <row r="133">
      <c r="A133" s="22" t="n"/>
      <c r="B133" s="22" t="n"/>
      <c r="C133" s="23" t="n"/>
      <c r="D133" s="24" t="n"/>
      <c r="E133" s="24" t="n"/>
    </row>
    <row r="134">
      <c r="A134" s="22" t="n"/>
      <c r="B134" s="22" t="n"/>
      <c r="C134" s="23" t="n"/>
      <c r="D134" s="24" t="n"/>
      <c r="E134" s="24" t="n"/>
    </row>
    <row r="135">
      <c r="A135" s="22" t="n"/>
      <c r="B135" s="22" t="n"/>
      <c r="C135" s="23" t="n"/>
      <c r="D135" s="24" t="n"/>
      <c r="E135" s="24" t="n"/>
    </row>
    <row r="136">
      <c r="A136" s="22" t="n"/>
      <c r="B136" s="22" t="n"/>
      <c r="C136" s="23" t="n"/>
      <c r="D136" s="24" t="n"/>
      <c r="E136" s="24" t="n"/>
    </row>
    <row r="137">
      <c r="A137" s="22" t="n"/>
      <c r="B137" s="22" t="n"/>
      <c r="C137" s="23" t="n"/>
      <c r="D137" s="24" t="n"/>
      <c r="E137" s="24" t="n"/>
    </row>
    <row r="138">
      <c r="A138" s="22" t="n"/>
      <c r="B138" s="22" t="n"/>
      <c r="C138" s="23" t="n"/>
      <c r="D138" s="24" t="n"/>
      <c r="E138" s="24" t="n"/>
    </row>
    <row r="139">
      <c r="A139" s="22" t="n"/>
      <c r="B139" s="22" t="n"/>
      <c r="C139" s="23" t="n"/>
      <c r="D139" s="24" t="n"/>
      <c r="E139" s="24" t="n"/>
    </row>
    <row r="140">
      <c r="A140" s="22" t="n"/>
      <c r="B140" s="22" t="n"/>
      <c r="C140" s="23" t="n"/>
      <c r="D140" s="24" t="n"/>
      <c r="E140" s="24" t="n"/>
    </row>
    <row r="141">
      <c r="A141" s="22" t="n"/>
      <c r="B141" s="22" t="n"/>
      <c r="C141" s="23" t="n"/>
      <c r="D141" s="24" t="n"/>
      <c r="E141" s="24" t="n"/>
    </row>
    <row r="142">
      <c r="A142" s="22" t="n"/>
      <c r="B142" s="22" t="n"/>
      <c r="C142" s="23" t="n"/>
      <c r="D142" s="24" t="n"/>
      <c r="E142" s="24" t="n"/>
    </row>
    <row r="143">
      <c r="A143" s="22" t="n"/>
      <c r="B143" s="22" t="n"/>
      <c r="C143" s="23" t="n"/>
      <c r="D143" s="24" t="n"/>
      <c r="E143" s="24" t="n"/>
    </row>
    <row r="144">
      <c r="A144" s="22" t="n"/>
      <c r="B144" s="22" t="n"/>
      <c r="C144" s="23" t="n"/>
      <c r="D144" s="24" t="n"/>
      <c r="E144" s="24" t="n"/>
    </row>
    <row r="145">
      <c r="A145" s="22" t="n"/>
      <c r="B145" s="22" t="n"/>
      <c r="C145" s="23" t="n"/>
      <c r="D145" s="24" t="n"/>
      <c r="E145" s="24" t="n"/>
    </row>
    <row r="146">
      <c r="A146" s="22" t="n"/>
      <c r="B146" s="22" t="n"/>
      <c r="C146" s="23" t="n"/>
      <c r="D146" s="24" t="n"/>
      <c r="E146" s="24" t="n"/>
    </row>
    <row r="147">
      <c r="A147" s="22" t="n"/>
      <c r="B147" s="22" t="n"/>
      <c r="C147" s="23" t="n"/>
      <c r="D147" s="24" t="n"/>
      <c r="E147" s="24" t="n"/>
    </row>
    <row r="148">
      <c r="A148" s="22" t="n"/>
      <c r="B148" s="22" t="n"/>
      <c r="C148" s="23" t="n"/>
      <c r="D148" s="24" t="n"/>
      <c r="E148" s="24" t="n"/>
    </row>
    <row r="149">
      <c r="A149" s="22" t="n"/>
      <c r="B149" s="22" t="n"/>
      <c r="C149" s="23" t="n"/>
      <c r="D149" s="24" t="n"/>
      <c r="E149" s="24" t="n"/>
    </row>
    <row r="150">
      <c r="A150" s="22" t="n"/>
      <c r="B150" s="22" t="n"/>
      <c r="C150" s="23" t="n"/>
      <c r="D150" s="24" t="n"/>
      <c r="E150" s="24" t="n"/>
    </row>
    <row r="151">
      <c r="A151" s="22" t="n"/>
      <c r="B151" s="22" t="n"/>
      <c r="C151" s="23" t="n"/>
      <c r="D151" s="24" t="n"/>
      <c r="E151" s="24" t="n"/>
    </row>
    <row r="152">
      <c r="A152" s="22" t="n"/>
      <c r="B152" s="22" t="n"/>
      <c r="C152" s="23" t="n"/>
      <c r="D152" s="24" t="n"/>
      <c r="E152" s="24" t="n"/>
    </row>
    <row r="153">
      <c r="A153" s="22" t="n"/>
      <c r="B153" s="22" t="n"/>
      <c r="C153" s="23" t="n"/>
      <c r="D153" s="24" t="n"/>
      <c r="E153" s="24" t="n"/>
    </row>
    <row r="154">
      <c r="A154" s="22" t="n"/>
      <c r="B154" s="22" t="n"/>
      <c r="C154" s="23" t="n"/>
      <c r="D154" s="24" t="n"/>
      <c r="E154" s="24" t="n"/>
    </row>
    <row r="155">
      <c r="A155" s="22" t="n"/>
      <c r="B155" s="22" t="n"/>
      <c r="C155" s="23" t="n"/>
      <c r="D155" s="24" t="n"/>
      <c r="E155" s="2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E155"/>
  <mergeCells count="1">
    <mergeCell ref="A3:E3"/>
  </mergeCells>
  <dataValidations count="3">
    <dataValidation sqref="A6:A155" showDropDown="0" showInputMessage="0" showErrorMessage="0" allowBlank="1" type="list">
      <formula1>=MASTER!$A$6:$A$13</formula1>
    </dataValidation>
    <dataValidation sqref="B6:B155" showDropDown="0" showInputMessage="0" showErrorMessage="0" allowBlank="1" type="list">
      <formula1>=MASTER!$C$6:$C$17</formula1>
    </dataValidation>
    <dataValidation sqref="C6:C155" showDropDown="0" showInputMessage="0" showErrorMessage="1" allowBlank="1" error="Isi angka antara 1 dan 12" type="whole" operator="between">
      <formula1>1</formula1>
      <formula2>12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7" customWidth="1" min="4" max="4"/>
    <col width="12" customWidth="1" min="5" max="5"/>
    <col width="15" customWidth="1" min="6" max="6"/>
    <col width="20" customWidth="1" min="7" max="7"/>
    <col width="20" customWidth="1" min="8" max="8"/>
    <col width="22" customWidth="1" min="9" max="9"/>
  </cols>
  <sheetData>
    <row r="1" ht="24" customHeight="1">
      <c r="A1" s="13" t="inlineStr">
        <is>
          <t>Analisis Varians</t>
        </is>
      </c>
    </row>
    <row r="2">
      <c r="A2" s="14">
        <f>"Departemen: "&amp;PARAMETER!C5&amp;"  |  Januari s/d bulan ke-"&amp;PARAMETER!C6&amp;"  |  Toleransi "&amp;TEXT(PARAMETER!C7,"0%")</f>
        <v/>
      </c>
    </row>
    <row r="3">
      <c r="A3" s="15" t="inlineStr">
        <is>
          <t>VERSI DEMO: kapasitas &amp; fitur dibatasi, data simulasi. Versi lengkap: WhatsApp 089623291732</t>
        </is>
      </c>
    </row>
    <row r="5" ht="34" customHeight="1">
      <c r="A5" s="20" t="inlineStr">
        <is>
          <t>Akun</t>
        </is>
      </c>
      <c r="B5" s="20" t="inlineStr">
        <is>
          <t>Anggaran YTD (Rp)</t>
        </is>
      </c>
      <c r="C5" s="20" t="inlineStr">
        <is>
          <t>Realisasi YTD (Rp)</t>
        </is>
      </c>
      <c r="D5" s="20" t="inlineStr">
        <is>
          <t>Selisih (Rp)</t>
        </is>
      </c>
      <c r="E5" s="20" t="inlineStr">
        <is>
          <t>Selisih (%)</t>
        </is>
      </c>
      <c r="F5" s="20" t="inlineStr">
        <is>
          <t>Status</t>
        </is>
      </c>
    </row>
    <row r="6">
      <c r="A6" s="21">
        <f>IF(MASTER!C6="","",MASTER!C6)</f>
        <v/>
      </c>
      <c r="B6" s="25">
        <f>IF($A6="","",SUMIFS(DATA!$D$6:$D$155,DATA!$A$6:$A$155,IF(PARAMETER!$C$5="Semua","*",PARAMETER!$C$5),DATA!$B$6:$B$155,$A6,DATA!$C$6:$C$155,"&lt;="&amp;PARAMETER!$C$6))</f>
        <v/>
      </c>
      <c r="C6" s="25">
        <f>IF($A6="","",SUMIFS(DATA!$E$6:$E$155,DATA!$A$6:$A$155,IF(PARAMETER!$C$5="Semua","*",PARAMETER!$C$5),DATA!$B$6:$B$155,$A6,DATA!$C$6:$C$155,"&lt;="&amp;PARAMETER!$C$6))</f>
        <v/>
      </c>
      <c r="D6" s="25">
        <f>IF($A6="","",B6-C6)</f>
        <v/>
      </c>
      <c r="E6" s="26">
        <f>IF($A6="","",IF(B6=0,0,D6/B6))</f>
        <v/>
      </c>
      <c r="F6" s="27">
        <f>IF($A6="","",IF(B6=0,"-",IF(C6&gt;B6*(1+PARAMETER!$C$7),"Over Budget",IF(C6&lt;B6*(1-PARAMETER!$C$7),"Hemat","On Track"))))</f>
        <v/>
      </c>
    </row>
    <row r="7">
      <c r="A7" s="21">
        <f>IF(MASTER!C7="","",MASTER!C7)</f>
        <v/>
      </c>
      <c r="B7" s="25">
        <f>IF($A7="","",SUMIFS(DATA!$D$6:$D$155,DATA!$A$6:$A$155,IF(PARAMETER!$C$5="Semua","*",PARAMETER!$C$5),DATA!$B$6:$B$155,$A7,DATA!$C$6:$C$155,"&lt;="&amp;PARAMETER!$C$6))</f>
        <v/>
      </c>
      <c r="C7" s="25">
        <f>IF($A7="","",SUMIFS(DATA!$E$6:$E$155,DATA!$A$6:$A$155,IF(PARAMETER!$C$5="Semua","*",PARAMETER!$C$5),DATA!$B$6:$B$155,$A7,DATA!$C$6:$C$155,"&lt;="&amp;PARAMETER!$C$6))</f>
        <v/>
      </c>
      <c r="D7" s="25">
        <f>IF($A7="","",B7-C7)</f>
        <v/>
      </c>
      <c r="E7" s="26">
        <f>IF($A7="","",IF(B7=0,0,D7/B7))</f>
        <v/>
      </c>
      <c r="F7" s="27">
        <f>IF($A7="","",IF(B7=0,"-",IF(C7&gt;B7*(1+PARAMETER!$C$7),"Over Budget",IF(C7&lt;B7*(1-PARAMETER!$C$7),"Hemat","On Track"))))</f>
        <v/>
      </c>
    </row>
    <row r="8">
      <c r="A8" s="21">
        <f>IF(MASTER!C8="","",MASTER!C8)</f>
        <v/>
      </c>
      <c r="B8" s="25">
        <f>IF($A8="","",SUMIFS(DATA!$D$6:$D$155,DATA!$A$6:$A$155,IF(PARAMETER!$C$5="Semua","*",PARAMETER!$C$5),DATA!$B$6:$B$155,$A8,DATA!$C$6:$C$155,"&lt;="&amp;PARAMETER!$C$6))</f>
        <v/>
      </c>
      <c r="C8" s="25">
        <f>IF($A8="","",SUMIFS(DATA!$E$6:$E$155,DATA!$A$6:$A$155,IF(PARAMETER!$C$5="Semua","*",PARAMETER!$C$5),DATA!$B$6:$B$155,$A8,DATA!$C$6:$C$155,"&lt;="&amp;PARAMETER!$C$6))</f>
        <v/>
      </c>
      <c r="D8" s="25">
        <f>IF($A8="","",B8-C8)</f>
        <v/>
      </c>
      <c r="E8" s="26">
        <f>IF($A8="","",IF(B8=0,0,D8/B8))</f>
        <v/>
      </c>
      <c r="F8" s="27">
        <f>IF($A8="","",IF(B8=0,"-",IF(C8&gt;B8*(1+PARAMETER!$C$7),"Over Budget",IF(C8&lt;B8*(1-PARAMETER!$C$7),"Hemat","On Track"))))</f>
        <v/>
      </c>
    </row>
    <row r="9">
      <c r="A9" s="21">
        <f>IF(MASTER!C9="","",MASTER!C9)</f>
        <v/>
      </c>
      <c r="B9" s="25">
        <f>IF($A9="","",SUMIFS(DATA!$D$6:$D$155,DATA!$A$6:$A$155,IF(PARAMETER!$C$5="Semua","*",PARAMETER!$C$5),DATA!$B$6:$B$155,$A9,DATA!$C$6:$C$155,"&lt;="&amp;PARAMETER!$C$6))</f>
        <v/>
      </c>
      <c r="C9" s="25">
        <f>IF($A9="","",SUMIFS(DATA!$E$6:$E$155,DATA!$A$6:$A$155,IF(PARAMETER!$C$5="Semua","*",PARAMETER!$C$5),DATA!$B$6:$B$155,$A9,DATA!$C$6:$C$155,"&lt;="&amp;PARAMETER!$C$6))</f>
        <v/>
      </c>
      <c r="D9" s="25">
        <f>IF($A9="","",B9-C9)</f>
        <v/>
      </c>
      <c r="E9" s="26">
        <f>IF($A9="","",IF(B9=0,0,D9/B9))</f>
        <v/>
      </c>
      <c r="F9" s="27">
        <f>IF($A9="","",IF(B9=0,"-",IF(C9&gt;B9*(1+PARAMETER!$C$7),"Over Budget",IF(C9&lt;B9*(1-PARAMETER!$C$7),"Hemat","On Track"))))</f>
        <v/>
      </c>
    </row>
    <row r="10">
      <c r="A10" s="21">
        <f>IF(MASTER!C10="","",MASTER!C10)</f>
        <v/>
      </c>
      <c r="B10" s="25">
        <f>IF($A10="","",SUMIFS(DATA!$D$6:$D$155,DATA!$A$6:$A$155,IF(PARAMETER!$C$5="Semua","*",PARAMETER!$C$5),DATA!$B$6:$B$155,$A10,DATA!$C$6:$C$155,"&lt;="&amp;PARAMETER!$C$6))</f>
        <v/>
      </c>
      <c r="C10" s="25">
        <f>IF($A10="","",SUMIFS(DATA!$E$6:$E$155,DATA!$A$6:$A$155,IF(PARAMETER!$C$5="Semua","*",PARAMETER!$C$5),DATA!$B$6:$B$155,$A10,DATA!$C$6:$C$155,"&lt;="&amp;PARAMETER!$C$6))</f>
        <v/>
      </c>
      <c r="D10" s="25">
        <f>IF($A10="","",B10-C10)</f>
        <v/>
      </c>
      <c r="E10" s="26">
        <f>IF($A10="","",IF(B10=0,0,D10/B10))</f>
        <v/>
      </c>
      <c r="F10" s="27">
        <f>IF($A10="","",IF(B10=0,"-",IF(C10&gt;B10*(1+PARAMETER!$C$7),"Over Budget",IF(C10&lt;B10*(1-PARAMETER!$C$7),"Hemat","On Track"))))</f>
        <v/>
      </c>
    </row>
    <row r="11">
      <c r="A11" s="21">
        <f>IF(MASTER!C11="","",MASTER!C11)</f>
        <v/>
      </c>
      <c r="B11" s="25">
        <f>IF($A11="","",SUMIFS(DATA!$D$6:$D$155,DATA!$A$6:$A$155,IF(PARAMETER!$C$5="Semua","*",PARAMETER!$C$5),DATA!$B$6:$B$155,$A11,DATA!$C$6:$C$155,"&lt;="&amp;PARAMETER!$C$6))</f>
        <v/>
      </c>
      <c r="C11" s="25">
        <f>IF($A11="","",SUMIFS(DATA!$E$6:$E$155,DATA!$A$6:$A$155,IF(PARAMETER!$C$5="Semua","*",PARAMETER!$C$5),DATA!$B$6:$B$155,$A11,DATA!$C$6:$C$155,"&lt;="&amp;PARAMETER!$C$6))</f>
        <v/>
      </c>
      <c r="D11" s="25">
        <f>IF($A11="","",B11-C11)</f>
        <v/>
      </c>
      <c r="E11" s="26">
        <f>IF($A11="","",IF(B11=0,0,D11/B11))</f>
        <v/>
      </c>
      <c r="F11" s="27">
        <f>IF($A11="","",IF(B11=0,"-",IF(C11&gt;B11*(1+PARAMETER!$C$7),"Over Budget",IF(C11&lt;B11*(1-PARAMETER!$C$7),"Hemat","On Track"))))</f>
        <v/>
      </c>
    </row>
    <row r="12">
      <c r="A12" s="21">
        <f>IF(MASTER!C12="","",MASTER!C12)</f>
        <v/>
      </c>
      <c r="B12" s="25">
        <f>IF($A12="","",SUMIFS(DATA!$D$6:$D$155,DATA!$A$6:$A$155,IF(PARAMETER!$C$5="Semua","*",PARAMETER!$C$5),DATA!$B$6:$B$155,$A12,DATA!$C$6:$C$155,"&lt;="&amp;PARAMETER!$C$6))</f>
        <v/>
      </c>
      <c r="C12" s="25">
        <f>IF($A12="","",SUMIFS(DATA!$E$6:$E$155,DATA!$A$6:$A$155,IF(PARAMETER!$C$5="Semua","*",PARAMETER!$C$5),DATA!$B$6:$B$155,$A12,DATA!$C$6:$C$155,"&lt;="&amp;PARAMETER!$C$6))</f>
        <v/>
      </c>
      <c r="D12" s="25">
        <f>IF($A12="","",B12-C12)</f>
        <v/>
      </c>
      <c r="E12" s="26">
        <f>IF($A12="","",IF(B12=0,0,D12/B12))</f>
        <v/>
      </c>
      <c r="F12" s="27">
        <f>IF($A12="","",IF(B12=0,"-",IF(C12&gt;B12*(1+PARAMETER!$C$7),"Over Budget",IF(C12&lt;B12*(1-PARAMETER!$C$7),"Hemat","On Track"))))</f>
        <v/>
      </c>
    </row>
    <row r="13">
      <c r="A13" s="21">
        <f>IF(MASTER!C13="","",MASTER!C13)</f>
        <v/>
      </c>
      <c r="B13" s="25">
        <f>IF($A13="","",SUMIFS(DATA!$D$6:$D$155,DATA!$A$6:$A$155,IF(PARAMETER!$C$5="Semua","*",PARAMETER!$C$5),DATA!$B$6:$B$155,$A13,DATA!$C$6:$C$155,"&lt;="&amp;PARAMETER!$C$6))</f>
        <v/>
      </c>
      <c r="C13" s="25">
        <f>IF($A13="","",SUMIFS(DATA!$E$6:$E$155,DATA!$A$6:$A$155,IF(PARAMETER!$C$5="Semua","*",PARAMETER!$C$5),DATA!$B$6:$B$155,$A13,DATA!$C$6:$C$155,"&lt;="&amp;PARAMETER!$C$6))</f>
        <v/>
      </c>
      <c r="D13" s="25">
        <f>IF($A13="","",B13-C13)</f>
        <v/>
      </c>
      <c r="E13" s="26">
        <f>IF($A13="","",IF(B13=0,0,D13/B13))</f>
        <v/>
      </c>
      <c r="F13" s="27">
        <f>IF($A13="","",IF(B13=0,"-",IF(C13&gt;B13*(1+PARAMETER!$C$7),"Over Budget",IF(C13&lt;B13*(1-PARAMETER!$C$7),"Hemat","On Track"))))</f>
        <v/>
      </c>
    </row>
    <row r="14">
      <c r="A14" s="21">
        <f>IF(MASTER!C14="","",MASTER!C14)</f>
        <v/>
      </c>
      <c r="B14" s="25">
        <f>IF($A14="","",SUMIFS(DATA!$D$6:$D$155,DATA!$A$6:$A$155,IF(PARAMETER!$C$5="Semua","*",PARAMETER!$C$5),DATA!$B$6:$B$155,$A14,DATA!$C$6:$C$155,"&lt;="&amp;PARAMETER!$C$6))</f>
        <v/>
      </c>
      <c r="C14" s="25">
        <f>IF($A14="","",SUMIFS(DATA!$E$6:$E$155,DATA!$A$6:$A$155,IF(PARAMETER!$C$5="Semua","*",PARAMETER!$C$5),DATA!$B$6:$B$155,$A14,DATA!$C$6:$C$155,"&lt;="&amp;PARAMETER!$C$6))</f>
        <v/>
      </c>
      <c r="D14" s="25">
        <f>IF($A14="","",B14-C14)</f>
        <v/>
      </c>
      <c r="E14" s="26">
        <f>IF($A14="","",IF(B14=0,0,D14/B14))</f>
        <v/>
      </c>
      <c r="F14" s="27">
        <f>IF($A14="","",IF(B14=0,"-",IF(C14&gt;B14*(1+PARAMETER!$C$7),"Over Budget",IF(C14&lt;B14*(1-PARAMETER!$C$7),"Hemat","On Track"))))</f>
        <v/>
      </c>
    </row>
    <row r="15">
      <c r="A15" s="21">
        <f>IF(MASTER!C15="","",MASTER!C15)</f>
        <v/>
      </c>
      <c r="B15" s="25">
        <f>IF($A15="","",SUMIFS(DATA!$D$6:$D$155,DATA!$A$6:$A$155,IF(PARAMETER!$C$5="Semua","*",PARAMETER!$C$5),DATA!$B$6:$B$155,$A15,DATA!$C$6:$C$155,"&lt;="&amp;PARAMETER!$C$6))</f>
        <v/>
      </c>
      <c r="C15" s="25">
        <f>IF($A15="","",SUMIFS(DATA!$E$6:$E$155,DATA!$A$6:$A$155,IF(PARAMETER!$C$5="Semua","*",PARAMETER!$C$5),DATA!$B$6:$B$155,$A15,DATA!$C$6:$C$155,"&lt;="&amp;PARAMETER!$C$6))</f>
        <v/>
      </c>
      <c r="D15" s="25">
        <f>IF($A15="","",B15-C15)</f>
        <v/>
      </c>
      <c r="E15" s="26">
        <f>IF($A15="","",IF(B15=0,0,D15/B15))</f>
        <v/>
      </c>
      <c r="F15" s="27">
        <f>IF($A15="","",IF(B15=0,"-",IF(C15&gt;B15*(1+PARAMETER!$C$7),"Over Budget",IF(C15&lt;B15*(1-PARAMETER!$C$7),"Hemat","On Track"))))</f>
        <v/>
      </c>
    </row>
    <row r="16">
      <c r="A16" s="21">
        <f>IF(MASTER!C16="","",MASTER!C16)</f>
        <v/>
      </c>
      <c r="B16" s="25">
        <f>IF($A16="","",SUMIFS(DATA!$D$6:$D$155,DATA!$A$6:$A$155,IF(PARAMETER!$C$5="Semua","*",PARAMETER!$C$5),DATA!$B$6:$B$155,$A16,DATA!$C$6:$C$155,"&lt;="&amp;PARAMETER!$C$6))</f>
        <v/>
      </c>
      <c r="C16" s="25">
        <f>IF($A16="","",SUMIFS(DATA!$E$6:$E$155,DATA!$A$6:$A$155,IF(PARAMETER!$C$5="Semua","*",PARAMETER!$C$5),DATA!$B$6:$B$155,$A16,DATA!$C$6:$C$155,"&lt;="&amp;PARAMETER!$C$6))</f>
        <v/>
      </c>
      <c r="D16" s="25">
        <f>IF($A16="","",B16-C16)</f>
        <v/>
      </c>
      <c r="E16" s="26">
        <f>IF($A16="","",IF(B16=0,0,D16/B16))</f>
        <v/>
      </c>
      <c r="F16" s="27">
        <f>IF($A16="","",IF(B16=0,"-",IF(C16&gt;B16*(1+PARAMETER!$C$7),"Over Budget",IF(C16&lt;B16*(1-PARAMETER!$C$7),"Hemat","On Track"))))</f>
        <v/>
      </c>
    </row>
    <row r="17">
      <c r="A17" s="21">
        <f>IF(MASTER!C17="","",MASTER!C17)</f>
        <v/>
      </c>
      <c r="B17" s="25">
        <f>IF($A17="","",SUMIFS(DATA!$D$6:$D$155,DATA!$A$6:$A$155,IF(PARAMETER!$C$5="Semua","*",PARAMETER!$C$5),DATA!$B$6:$B$155,$A17,DATA!$C$6:$C$155,"&lt;="&amp;PARAMETER!$C$6))</f>
        <v/>
      </c>
      <c r="C17" s="25">
        <f>IF($A17="","",SUMIFS(DATA!$E$6:$E$155,DATA!$A$6:$A$155,IF(PARAMETER!$C$5="Semua","*",PARAMETER!$C$5),DATA!$B$6:$B$155,$A17,DATA!$C$6:$C$155,"&lt;="&amp;PARAMETER!$C$6))</f>
        <v/>
      </c>
      <c r="D17" s="25">
        <f>IF($A17="","",B17-C17)</f>
        <v/>
      </c>
      <c r="E17" s="26">
        <f>IF($A17="","",IF(B17=0,0,D17/B17))</f>
        <v/>
      </c>
      <c r="F17" s="27">
        <f>IF($A17="","",IF(B17=0,"-",IF(C17&gt;B17*(1+PARAMETER!$C$7),"Over Budget",IF(C17&lt;B17*(1-PARAMETER!$C$7),"Hemat","On Track"))))</f>
        <v/>
      </c>
    </row>
    <row r="18">
      <c r="A18" s="28" t="inlineStr">
        <is>
          <t>TOTAL</t>
        </is>
      </c>
      <c r="B18" s="29">
        <f>SUM(B6:B17)</f>
        <v/>
      </c>
      <c r="C18" s="29">
        <f>SUM(C6:C17)</f>
        <v/>
      </c>
      <c r="D18" s="29">
        <f>SUM(D6:D17)</f>
        <v/>
      </c>
      <c r="E18" s="30">
        <f>IF(B18=0,0,D18/B18)</f>
        <v/>
      </c>
      <c r="F18" s="3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F3"/>
  </mergeCells>
  <conditionalFormatting sqref="F6:F18">
    <cfRule type="cellIs" priority="1" operator="equal" dxfId="0">
      <formula>"Over Budget"</formula>
    </cfRule>
    <cfRule type="cellIs" priority="2" operator="equal" dxfId="1">
      <formula>"Hemat"</formula>
    </cfRule>
  </conditionalFormatting>
  <conditionalFormatting sqref="D6:E18">
    <cfRule type="cellIs" priority="3" operator="less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Budget vs Aktual (Demo)</dc:title>
  <dc:subject xmlns:dc="http://purl.org/dc/elements/1.1/">Lisensi: demo</dc:subject>
  <dcterms:created xmlns:dcterms="http://purl.org/dc/terms/" xmlns:xsi="http://www.w3.org/2001/XMLSchema-instance" xsi:type="dcterms:W3CDTF">2026-10-29T16:50:45Z</dcterms:created>
  <dcterms:modified xmlns:dcterms="http://purl.org/dc/terms/" xmlns:xsi="http://www.w3.org/2001/XMLSchema-instance" xsi:type="dcterms:W3CDTF">2026-10-29T16:50:45Z</dcterms:modified>
</cp:coreProperties>
</file>