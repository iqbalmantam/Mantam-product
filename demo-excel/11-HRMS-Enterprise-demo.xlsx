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TUNJUK" sheetId="1" state="visible" r:id="rId3"/>
    <sheet name="PARAMETER" sheetId="2" state="visible" r:id="rId4"/>
    <sheet name="TARIF_TER" sheetId="3" state="visible" r:id="rId5"/>
    <sheet name="KARYAWAN" sheetId="4" state="visible" r:id="rId6"/>
    <sheet name="ABSENSI" sheetId="5" state="visible" r:id="rId7"/>
    <sheet name="PAYROLL" sheetId="6" state="visible" r:id="rId8"/>
    <sheet name="RINGKASAN" sheetId="7" state="visible" r:id="rId9"/>
  </sheets>
  <definedNames>
    <definedName function="false" hidden="true" localSheetId="3" name="_xlnm._FilterDatabase" vbProcedure="false">KARYAWAN!$A$5:$V$35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<sst xmlns="http://schemas.openxmlformats.org/spreadsheetml/2006/main" count="443" uniqueCount="261">
  <si>
    <t xml:space="preserve">Mantam Product</t>
  </si>
  <si>
    <t xml:space="preserve">HRMS Enterprise (Demo)</t>
  </si>
  <si>
    <t xml:space="preserve">Sistem SDM lengkap dalam Excel: master karyawan, absensi, cuti, payroll dengan BPJS dan PPh 21 TER, slip gaji, rekrutmen, kinerja, pelatihan, dan dashboard.</t>
  </si>
  <si>
    <t xml:space="preserve">Lisensi</t>
  </si>
  <si>
    <t xml:space="preserve">VERSI DEMO. Kapasitas dan fitur dibatasi. Pesan versi lengkap: WhatsApp 089623291732</t>
  </si>
  <si>
    <t xml:space="preserve">Cara memakai</t>
  </si>
  <si>
    <t xml:space="preserve">Langkah 1</t>
  </si>
  <si>
    <t xml:space="preserve">Buka PARAMETER: isi nama perusahaan, bulan dan tahun payroll, hari kerja, tarif BPJS, dan daftar pilihan (sel kuning/biru).</t>
  </si>
  <si>
    <t xml:space="preserve">Langkah 2</t>
  </si>
  <si>
    <t xml:space="preserve">Isi master karyawan di KARYAWAN (satu baris per orang). Gaji, PTKP, dan status menentukan perhitungan payroll.</t>
  </si>
  <si>
    <t xml:space="preserve">Langkah 3</t>
  </si>
  <si>
    <t xml:space="preserve">Tiap bulan isi ABSENSI (hari hadir, sakit, izin, cuti, alpa, jam lembur, bonus). Baris mengikuti urutan KARYAWAN.</t>
  </si>
  <si>
    <t xml:space="preserve">Langkah 4</t>
  </si>
  <si>
    <t xml:space="preserve">Buka PAYROLL untuk melihat gaji bersih dan total biaya perusahaan.</t>
  </si>
  <si>
    <t xml:space="preserve">Isi berkas</t>
  </si>
  <si>
    <t xml:space="preserve">PARAMETER</t>
  </si>
  <si>
    <t xml:space="preserve">Pusat kustomisasi: identitas perusahaan, periode, tunjangan, tarif BPJS, PTKP, tarif progresif Pasal 17, daftar pilihan, band gaji.</t>
  </si>
  <si>
    <t xml:space="preserve">TARIF_TER</t>
  </si>
  <si>
    <t xml:space="preserve">Tabel tarif efektif rata-rata (TER) kategori A, B, C untuk PPh 21 bulanan; dapat Anda perbarui bila aturan berubah.</t>
  </si>
  <si>
    <t xml:space="preserve">KARYAWAN</t>
  </si>
  <si>
    <t xml:space="preserve">Master karyawan (kapasitas 30): identitas, jabatan, grade, status, PTKP, gaji, 2 kolom kustom; usia, masa kerja, kategori TER, dan posisi terhadap band gaji otomatis.</t>
  </si>
  <si>
    <t xml:space="preserve">ABSENSI</t>
  </si>
  <si>
    <t xml:space="preserve">Rekap kehadiran bulanan per karyawan: hadir, sakit, izin, cuti, alpa, jam lembur, bonus, potongan lain, dengan pengecekan jumlah hari.</t>
  </si>
  <si>
    <t xml:space="preserve">PAYROLL</t>
  </si>
  <si>
    <t xml:space="preserve">Penggajian otomatis: tunjangan, lembur, potongan alpa, BPJS perusahaan dan karyawan, PPh 21 (TER), gaji bersih, dan total biaya perusahaan.</t>
  </si>
  <si>
    <t xml:space="preserve">RINGKASAN</t>
  </si>
  <si>
    <t xml:space="preserve">Headcount dan biaya payroll per departemen.</t>
  </si>
  <si>
    <t xml:space="preserve">Legenda warna</t>
  </si>
  <si>
    <t xml:space="preserve">Teks biru</t>
  </si>
  <si>
    <t xml:space="preserve">Sel input: boleh Anda ubah (tidak terkunci).</t>
  </si>
  <si>
    <t xml:space="preserve">Sel kuning</t>
  </si>
  <si>
    <t xml:space="preserve">Parameter kunci: periksa terlebih dulu.</t>
  </si>
  <si>
    <t xml:space="preserve">Teks hitam</t>
  </si>
  <si>
    <t xml:space="preserve">Rumus otomatis (terkunci; Review &gt; Unprotect Sheet tanpa kata sandi bila perlu).</t>
  </si>
  <si>
    <t xml:space="preserve">Catatan</t>
  </si>
  <si>
    <t xml:space="preserve">• Seluruh data adalah simulasi buatan, bukan data perusahaan nyata.</t>
  </si>
  <si>
    <t xml:space="preserve">• Hasil perhitungan adalah alat bantu; verifikasi dengan akuntan/konsultan sebelum dipakai untuk keputusan atau pelaporan resmi.</t>
  </si>
  <si>
    <t xml:space="preserve">• Tarif BPJS, PTKP, dan tabel TER di berkas ini adalah nilai acuan dan DAPAT BERUBAH. Verifikasi dengan peraturan resmi (PP 58/2023, PMK 168/2023, ketentuan BPJS terbaru) sebelum dipakai untuk penggajian nyata.</t>
  </si>
  <si>
    <t xml:space="preserve">• Tabel TER disalin dari sumber sekunder; cocokkan dengan lampiran resmi PMK 168/2023. Batas upah dan tarif BPJS Kesehatan perlu diverifikasi karena sering diperbarui.</t>
  </si>
  <si>
    <t xml:space="preserve">• PPh 21 Januari–November memakai TER; Desember (masa pajak terakhir) memakai tarif progresif Pasal 17 dengan estimasi setahun dari penghasilan bulan terpilih (penyederhanaan). Laporan pajak resmi tetap harus melalui konsultan/aplikasi pajak.</t>
  </si>
  <si>
    <t xml:space="preserve">• Kustomisasi: ganti nama tunjangan, tarif, daftar departemen/status, band gaji, bobot KPI, tabel rating, dan 2 kolom kustom di PARAMETER tanpa mengubah rumus. Perlu modul khusus? Hubungi WhatsApp 089623291732 (layanan Custom Pro).</t>
  </si>
  <si>
    <t xml:space="preserve">• Data karyawan bersifat pribadi; simpan berkas ini dengan aman dan bagikan sesuai kebijakan privasi perusahaan Anda.</t>
  </si>
  <si>
    <t xml:space="preserve">Parameter &amp; Kustomisasi</t>
  </si>
  <si>
    <t xml:space="preserve">Sel kuning = parameter kunci; sel biru = daftar yang bisa Anda ganti.</t>
  </si>
  <si>
    <t xml:space="preserve">VERSI DEMO: kapasitas &amp; fitur dibatasi, data simulasi. Versi lengkap: WhatsApp 089623291732</t>
  </si>
  <si>
    <t xml:space="preserve">Nama perusahaan</t>
  </si>
  <si>
    <t xml:space="preserve">PT Nusantara Karya Mandiri (contoh)</t>
  </si>
  <si>
    <t xml:space="preserve">Bulan payroll (1-12)</t>
  </si>
  <si>
    <t xml:space="preserve">Bulan 12 memakai perhitungan PPh 21 progresif tahunan.</t>
  </si>
  <si>
    <t xml:space="preserve">Tahun payroll</t>
  </si>
  <si>
    <t xml:space="preserve">Hari kerja pada bulan payroll</t>
  </si>
  <si>
    <t xml:space="preserve">Pembagi upah per jam (jam/bulan)</t>
  </si>
  <si>
    <t xml:space="preserve">Pengali lembur rata-rata</t>
  </si>
  <si>
    <t xml:space="preserve">Contoh 1,75; sesuaikan aturan lembur perusahaan.</t>
  </si>
  <si>
    <t xml:space="preserve">Tunjangan Transport (per hari hadir)</t>
  </si>
  <si>
    <t xml:space="preserve">Tunjangan Makan (per hari hadir)</t>
  </si>
  <si>
    <t xml:space="preserve">Tanggal laporan</t>
  </si>
  <si>
    <t xml:space="preserve">Jatah cuti tahunan (hari)</t>
  </si>
  <si>
    <t xml:space="preserve">Biaya jabatan (% penghasilan)</t>
  </si>
  <si>
    <t xml:space="preserve">Biaya jabatan maksimum per tahun (Rp)</t>
  </si>
  <si>
    <t xml:space="preserve">Nama kolom kustom 1 (tanggal)</t>
  </si>
  <si>
    <t xml:space="preserve">Tgl Akhir Kontrak</t>
  </si>
  <si>
    <t xml:space="preserve">Nama kolom kustom 2 (teks)</t>
  </si>
  <si>
    <t xml:space="preserve">Catatan HR</t>
  </si>
  <si>
    <t xml:space="preserve">TARIF BPJS (acuan, verifikasi dengan aturan terbaru)</t>
  </si>
  <si>
    <t xml:space="preserve">Komponen</t>
  </si>
  <si>
    <t xml:space="preserve">Perusahaan</t>
  </si>
  <si>
    <t xml:space="preserve">Karyawan</t>
  </si>
  <si>
    <t xml:space="preserve">Batas upah (Rp)</t>
  </si>
  <si>
    <t xml:space="preserve">JHT (Jaminan Hari Tua)</t>
  </si>
  <si>
    <t xml:space="preserve">JP (Jaminan Pensiun)</t>
  </si>
  <si>
    <t xml:space="preserve">JKK (Kecelakaan Kerja)</t>
  </si>
  <si>
    <t xml:space="preserve">JKM (Kematian)</t>
  </si>
  <si>
    <t xml:space="preserve">BPJS Kesehatan</t>
  </si>
  <si>
    <t xml:space="preserve">Batas 9.999.999.999 = tanpa batas. JKK mengikuti kelas risiko usaha (default contoh 0,24%). JKP ditanggung pemerintah/rekomposisi JKK, tidak dimodelkan.</t>
  </si>
  <si>
    <t xml:space="preserve">PTKP &amp; KATEGORI TER</t>
  </si>
  <si>
    <t xml:space="preserve">TARIF PROGRESIF PASAL 17</t>
  </si>
  <si>
    <t xml:space="preserve">Status</t>
  </si>
  <si>
    <t xml:space="preserve">PTKP setahun (Rp)</t>
  </si>
  <si>
    <t xml:space="preserve">Kategori TER</t>
  </si>
  <si>
    <t xml:space="preserve">Batas bawah PKP (Rp)</t>
  </si>
  <si>
    <t xml:space="preserve">Tarif</t>
  </si>
  <si>
    <t xml:space="preserve">Selisih tarif</t>
  </si>
  <si>
    <t xml:space="preserve">TK/0</t>
  </si>
  <si>
    <t xml:space="preserve">A</t>
  </si>
  <si>
    <t xml:space="preserve">TK/1</t>
  </si>
  <si>
    <t xml:space="preserve">TK/2</t>
  </si>
  <si>
    <t xml:space="preserve">B</t>
  </si>
  <si>
    <t xml:space="preserve">TK/3</t>
  </si>
  <si>
    <t xml:space="preserve">K/0</t>
  </si>
  <si>
    <t xml:space="preserve">K/1</t>
  </si>
  <si>
    <t xml:space="preserve">K/2</t>
  </si>
  <si>
    <t xml:space="preserve">K/3</t>
  </si>
  <si>
    <t xml:space="preserve">C</t>
  </si>
  <si>
    <t xml:space="preserve">DAFTAR PILIHAN (ganti sesuai perusahaan Anda)</t>
  </si>
  <si>
    <t xml:space="preserve">Departemen</t>
  </si>
  <si>
    <t xml:space="preserve">Status kerja</t>
  </si>
  <si>
    <t xml:space="preserve">Lokasi</t>
  </si>
  <si>
    <t xml:space="preserve">Tahap rekrutmen</t>
  </si>
  <si>
    <t xml:space="preserve">Sumber kandidat</t>
  </si>
  <si>
    <t xml:space="preserve">Jenis cuti</t>
  </si>
  <si>
    <t xml:space="preserve">Status cuti</t>
  </si>
  <si>
    <t xml:space="preserve">Kategori pelatihan</t>
  </si>
  <si>
    <t xml:space="preserve">Operasional</t>
  </si>
  <si>
    <t xml:space="preserve">Tetap</t>
  </si>
  <si>
    <t xml:space="preserve">Jakarta</t>
  </si>
  <si>
    <t xml:space="preserve">Lamaran</t>
  </si>
  <si>
    <t xml:space="preserve">LinkedIn</t>
  </si>
  <si>
    <t xml:space="preserve">Tahunan</t>
  </si>
  <si>
    <t xml:space="preserve">Disetujui</t>
  </si>
  <si>
    <t xml:space="preserve">Teknis</t>
  </si>
  <si>
    <t xml:space="preserve">Keuangan</t>
  </si>
  <si>
    <t xml:space="preserve">Kontrak</t>
  </si>
  <si>
    <t xml:space="preserve">Bandung</t>
  </si>
  <si>
    <t xml:space="preserve">Screening</t>
  </si>
  <si>
    <t xml:space="preserve">Jobstreet</t>
  </si>
  <si>
    <t xml:space="preserve">Sakit</t>
  </si>
  <si>
    <t xml:space="preserve">Menunggu</t>
  </si>
  <si>
    <t xml:space="preserve">Kepemimpinan</t>
  </si>
  <si>
    <t xml:space="preserve">Pemasaran</t>
  </si>
  <si>
    <t xml:space="preserve">Probation</t>
  </si>
  <si>
    <t xml:space="preserve">Surabaya</t>
  </si>
  <si>
    <t xml:space="preserve">Interview HR</t>
  </si>
  <si>
    <t xml:space="preserve">Referral</t>
  </si>
  <si>
    <t xml:space="preserve">Melahirkan</t>
  </si>
  <si>
    <t xml:space="preserve">Ditolak</t>
  </si>
  <si>
    <t xml:space="preserve">Soft Skill</t>
  </si>
  <si>
    <t xml:space="preserve">SDM</t>
  </si>
  <si>
    <t xml:space="preserve">Magang</t>
  </si>
  <si>
    <t xml:space="preserve">Yogyakarta</t>
  </si>
  <si>
    <t xml:space="preserve">Interview User</t>
  </si>
  <si>
    <t xml:space="preserve">Situs Karier</t>
  </si>
  <si>
    <t xml:space="preserve">Izin Khusus</t>
  </si>
  <si>
    <t xml:space="preserve">Kepatuhan &amp; K3</t>
  </si>
  <si>
    <t xml:space="preserve">Teknologi</t>
  </si>
  <si>
    <t xml:space="preserve">Resign</t>
  </si>
  <si>
    <t xml:space="preserve">Penawaran</t>
  </si>
  <si>
    <t xml:space="preserve">Kampus</t>
  </si>
  <si>
    <t xml:space="preserve">Tanpa Gaji</t>
  </si>
  <si>
    <t xml:space="preserve">Digital</t>
  </si>
  <si>
    <t xml:space="preserve">Penjualan</t>
  </si>
  <si>
    <t xml:space="preserve">Diterima</t>
  </si>
  <si>
    <t xml:space="preserve">Walk-in</t>
  </si>
  <si>
    <t xml:space="preserve">Status kerja 'Resign' dan tahap 'Diterima'/'Ditolak' dipakai dalam rumus; jangan ubah ejaannya. Kategori lain bebas diganti.</t>
  </si>
  <si>
    <t xml:space="preserve">BAND GAJI PER GRADE (Rp)</t>
  </si>
  <si>
    <t xml:space="preserve">Grade</t>
  </si>
  <si>
    <t xml:space="preserve">Gaji pokok minimum</t>
  </si>
  <si>
    <t xml:space="preserve">Gaji pokok maksimum</t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</si>
  <si>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</si>
  <si>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</si>
  <si>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</si>
  <si>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</si>
  <si>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</si>
  <si>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</si>
  <si>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Tarif Efektif Rata-rata (TER) PPh 21</t>
  </si>
  <si>
    <t xml:space="preserve">Batas bawah penghasilan bruto bulanan (Rp) dan tarif. Verifikasi dengan lampiran resmi PMK 168/2023.</t>
  </si>
  <si>
    <t xml:space="preserve">KATEGORI A</t>
  </si>
  <si>
    <t xml:space="preserve">KATEGORI B</t>
  </si>
  <si>
    <t xml:space="preserve">KATEGORI C</t>
  </si>
  <si>
    <t xml:space="preserve">Dari (Rp)</t>
  </si>
  <si>
    <t xml:space="preserve">Master Karyawan</t>
  </si>
  <si>
    <t xml:space="preserve">Kapasitas 30 baris. Satu baris per karyawan; ID harus unik.</t>
  </si>
  <si>
    <t xml:space="preserve">ID</t>
  </si>
  <si>
    <t xml:space="preserve">Nama</t>
  </si>
  <si>
    <t xml:space="preserve">Gender (L/P)</t>
  </si>
  <si>
    <t xml:space="preserve">Tgl Lahir</t>
  </si>
  <si>
    <t xml:space="preserve">Jabatan</t>
  </si>
  <si>
    <t xml:space="preserve">Status Kerja</t>
  </si>
  <si>
    <t xml:space="preserve">Tgl Masuk</t>
  </si>
  <si>
    <t xml:space="preserve">Status PTKP</t>
  </si>
  <si>
    <t xml:space="preserve">Gaji Pokok (Rp)</t>
  </si>
  <si>
    <t xml:space="preserve">Tunjangan Tetap (Rp)</t>
  </si>
  <si>
    <t xml:space="preserve">Atasan</t>
  </si>
  <si>
    <t xml:space="preserve">Tgl Keluar</t>
  </si>
  <si>
    <t xml:space="preserve">Usia (thn)</t>
  </si>
  <si>
    <t xml:space="preserve">Masa Kerja (thn)</t>
  </si>
  <si>
    <t xml:space="preserve">Aktif (1/0)</t>
  </si>
  <si>
    <t xml:space="preserve">Posisi vs Band Gaji</t>
  </si>
  <si>
    <t xml:space="preserve">K-001</t>
  </si>
  <si>
    <t xml:space="preserve">Dian Pratama</t>
  </si>
  <si>
    <t xml:space="preserve">P</t>
  </si>
  <si>
    <t xml:space="preserve">Direktur</t>
  </si>
  <si>
    <t xml:space="preserve">-</t>
  </si>
  <si>
    <t xml:space="preserve">K-002</t>
  </si>
  <si>
    <t xml:space="preserve">Nadia Utami</t>
  </si>
  <si>
    <t xml:space="preserve">Senior Staf</t>
  </si>
  <si>
    <t xml:space="preserve">K-003</t>
  </si>
  <si>
    <t xml:space="preserve">Farah Kusuma</t>
  </si>
  <si>
    <t xml:space="preserve">Manajer</t>
  </si>
  <si>
    <t xml:space="preserve">K-004</t>
  </si>
  <si>
    <t xml:space="preserve">Dimas Nugroho</t>
  </si>
  <si>
    <t xml:space="preserve">L</t>
  </si>
  <si>
    <t xml:space="preserve">Staf Junior</t>
  </si>
  <si>
    <t xml:space="preserve">K-005</t>
  </si>
  <si>
    <t xml:space="preserve">Dimas Pratama</t>
  </si>
  <si>
    <t xml:space="preserve">Staf</t>
  </si>
  <si>
    <t xml:space="preserve">K-006</t>
  </si>
  <si>
    <t xml:space="preserve">Nadia Pratama</t>
  </si>
  <si>
    <t xml:space="preserve">K-007</t>
  </si>
  <si>
    <t xml:space="preserve">Wahyu Hidayat</t>
  </si>
  <si>
    <t xml:space="preserve">K-008</t>
  </si>
  <si>
    <t xml:space="preserve">Fajar Firmansyah</t>
  </si>
  <si>
    <t xml:space="preserve">Senior Manajer</t>
  </si>
  <si>
    <t xml:space="preserve">K-009</t>
  </si>
  <si>
    <t xml:space="preserve">Vero Lestari</t>
  </si>
  <si>
    <t xml:space="preserve">K-010</t>
  </si>
  <si>
    <t xml:space="preserve">Tegar Santoso</t>
  </si>
  <si>
    <t xml:space="preserve">K-011</t>
  </si>
  <si>
    <t xml:space="preserve">Tegar Pratama</t>
  </si>
  <si>
    <t xml:space="preserve">Jihan Maulana</t>
  </si>
  <si>
    <t xml:space="preserve">K-012</t>
  </si>
  <si>
    <t xml:space="preserve">Eko Maulana</t>
  </si>
  <si>
    <t xml:space="preserve">K-013</t>
  </si>
  <si>
    <t xml:space="preserve">Fajar Lestari</t>
  </si>
  <si>
    <t xml:space="preserve">K-014</t>
  </si>
  <si>
    <t xml:space="preserve">Wulan Pratama</t>
  </si>
  <si>
    <t xml:space="preserve">K-015</t>
  </si>
  <si>
    <t xml:space="preserve">Eko Setiawan</t>
  </si>
  <si>
    <t xml:space="preserve">K-016</t>
  </si>
  <si>
    <t xml:space="preserve">Putra Santoso</t>
  </si>
  <si>
    <t xml:space="preserve">K-017</t>
  </si>
  <si>
    <t xml:space="preserve">K-018</t>
  </si>
  <si>
    <t xml:space="preserve">Zahra Wijaya</t>
  </si>
  <si>
    <t xml:space="preserve">K-019</t>
  </si>
  <si>
    <t xml:space="preserve">Citra Saputra</t>
  </si>
  <si>
    <t xml:space="preserve">K-020</t>
  </si>
  <si>
    <t xml:space="preserve">Dimas Wijaya</t>
  </si>
  <si>
    <t xml:space="preserve">Absensi Bulanan</t>
  </si>
  <si>
    <t xml:space="preserve">Hadir</t>
  </si>
  <si>
    <t xml:space="preserve">Izin</t>
  </si>
  <si>
    <t xml:space="preserve">Cuti</t>
  </si>
  <si>
    <t xml:space="preserve">Alpa</t>
  </si>
  <si>
    <t xml:space="preserve">Jam Lembur</t>
  </si>
  <si>
    <t xml:space="preserve">Bonus / Insentif (Rp)</t>
  </si>
  <si>
    <t xml:space="preserve">Potongan Lain (Rp)</t>
  </si>
  <si>
    <t xml:space="preserve">Cek Hari</t>
  </si>
  <si>
    <t xml:space="preserve">Payroll</t>
  </si>
  <si>
    <t xml:space="preserve">TOTAL</t>
  </si>
  <si>
    <t xml:space="preserve">Kat. TER</t>
  </si>
  <si>
    <t xml:space="preserve">Gaji Pokok</t>
  </si>
  <si>
    <t xml:space="preserve">Tunjangan Tetap</t>
  </si>
  <si>
    <t xml:space="preserve">Lembur</t>
  </si>
  <si>
    <t xml:space="preserve">Bonus / Insentif</t>
  </si>
  <si>
    <t xml:space="preserve">Potongan Alpa</t>
  </si>
  <si>
    <t xml:space="preserve">Premi Perusahaan Kena Pajak (JKK+JKM+Kes)</t>
  </si>
  <si>
    <t xml:space="preserve">Penghasilan Bruto (dasar PPh)</t>
  </si>
  <si>
    <t xml:space="preserve">PPh 21</t>
  </si>
  <si>
    <t xml:space="preserve">JHT Karyawan</t>
  </si>
  <si>
    <t xml:space="preserve">JP Karyawan</t>
  </si>
  <si>
    <t xml:space="preserve">BPJS Kes. Karyawan</t>
  </si>
  <si>
    <t xml:space="preserve">Potongan Lain</t>
  </si>
  <si>
    <t xml:space="preserve">GAJI BERSIH (THP)</t>
  </si>
  <si>
    <t xml:space="preserve">BPJS Perusahaan (total)</t>
  </si>
  <si>
    <t xml:space="preserve">TOTAL BIAYA PERUSAHAAN</t>
  </si>
  <si>
    <t xml:space="preserve">Tarif TER</t>
  </si>
  <si>
    <t xml:space="preserve">PPh 21 metode TER</t>
  </si>
  <si>
    <t xml:space="preserve">Ringkasan SDM</t>
  </si>
  <si>
    <t xml:space="preserve">Headcount aktif</t>
  </si>
  <si>
    <t xml:space="preserve">Total biaya perusahaan (Rp)</t>
  </si>
  <si>
    <t xml:space="preserve">Gaji bersih (Rp)</t>
  </si>
  <si>
    <t xml:space="preserve">PPh 21 (Rp)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</si>
</sst>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0"/>
    <numFmt numFmtId="167" formatCode="#,##0;\(#,##0\);\-"/>
    <numFmt numFmtId="168" formatCode="dd\-mmm\-yyyy"/>
    <numFmt numFmtId="169" formatCode="0.0%"/>
    <numFmt numFmtId="170" formatCode="0.00%"/>
    <numFmt numFmtId="171" formatCode="#,##0"/>
    <numFmt numFmtId="172" formatCode="0%"/>
    <numFmt numFmtId="173" formatCode="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EA5A4"/>
      <name val="Arial"/>
      <family val="0"/>
      <charset val="1"/>
    </font>
    <font>
      <b val="true"/>
      <sz val="18"/>
      <color rgb="FF0B1A30"/>
      <name val="Arial"/>
      <family val="0"/>
      <charset val="1"/>
    </font>
    <font>
      <sz val="10"/>
      <color rgb="FF33445C"/>
      <name val="Arial"/>
      <family val="0"/>
      <charset val="1"/>
    </font>
    <font>
      <b val="true"/>
      <sz val="10"/>
      <color rgb="FF0B1A30"/>
      <name val="Arial"/>
      <family val="0"/>
      <charset val="1"/>
    </font>
    <font>
      <b val="true"/>
      <sz val="10"/>
      <color rgb="FFB9770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6"/>
      <color rgb="FF0B1A30"/>
      <name val="Arial"/>
      <family val="0"/>
      <charset val="1"/>
    </font>
    <font>
      <i val="true"/>
      <sz val="10"/>
      <color rgb="FF5B6B82"/>
      <name val="Arial"/>
      <family val="0"/>
      <charset val="1"/>
    </font>
    <font>
      <b val="true"/>
      <sz val="9"/>
      <color rgb="FFB9770E"/>
      <name val="Arial"/>
      <family val="0"/>
      <charset val="1"/>
    </font>
    <font>
      <i val="true"/>
      <sz val="9"/>
      <color rgb="FF5B6B82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EA5A4"/>
        <bgColor rgb="FF008080"/>
      </patternFill>
    </fill>
    <fill>
      <patternFill patternType="solid">
        <fgColor rgb="FFFFF2CC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0B1A30"/>
        <bgColor rgb="FF000000"/>
      </patternFill>
    </fill>
    <fill>
      <patternFill patternType="solid">
        <fgColor rgb="FFF2F5FA"/>
        <bgColor rgb="FFEEF3FB"/>
      </patternFill>
    </fill>
    <fill>
      <patternFill patternType="solid">
        <fgColor rgb="FFE8F8F5"/>
        <bgColor rgb="FFEEF3FB"/>
      </patternFill>
    </fill>
    <fill>
      <patternFill patternType="solid">
        <fgColor rgb="FFEEF3FB"/>
        <bgColor rgb="FFF2F5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2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7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12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2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9" fontId="12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1" fontId="12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2" fontId="12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1" fontId="12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0" fontId="12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12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12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B1A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Arial"/>
        <charset val="1"/>
        <family val="0"/>
        <b val="1"/>
        <color rgb="FFC0392B"/>
        <sz val="10"/>
      </font>
    </dxf>
    <dxf>
      <font>
        <name val="Arial"/>
        <charset val="1"/>
        <family val="0"/>
        <b val="1"/>
        <color rgb="FFB9770E"/>
        <sz val="10"/>
      </font>
      <fill>
        <patternFill>
          <bgColor rgb="FFFDEBD0"/>
        </patternFill>
      </fill>
    </dxf>
    <dxf>
      <font>
        <name val="Arial"/>
        <charset val="1"/>
        <family val="0"/>
        <b val="1"/>
        <color rgb="FFC0392B"/>
        <sz val="10"/>
      </font>
      <fill>
        <patternFill>
          <bgColor rgb="FFF5B7B1"/>
        </patternFill>
      </fill>
    </dxf>
    <dxf>
      <font>
        <name val="Arial"/>
        <charset val="1"/>
        <family val="0"/>
        <color rgb="FF1E8449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EA5A4"/>
      <rgbColor rgb="FFD9D9D9"/>
      <rgbColor rgb="FF878787"/>
      <rgbColor rgb="FF9999FF"/>
      <rgbColor rgb="FF993366"/>
      <rgbColor rgb="FFFFF2CC"/>
      <rgbColor rgb="FFE8F8F5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B"/>
      <rgbColor rgb="FFE3E8F1"/>
      <rgbColor rgb="FFFDEBD0"/>
      <rgbColor rgb="FFF2F5FA"/>
      <rgbColor rgb="FFFF99CC"/>
      <rgbColor rgb="FFCC99FF"/>
      <rgbColor rgb="FFF5B7B1"/>
      <rgbColor rgb="FF3366FF"/>
      <rgbColor rgb="FF33CCCC"/>
      <rgbColor rgb="FF99CC00"/>
      <rgbColor rgb="FFFFCC00"/>
      <rgbColor rgb="FFFF9900"/>
      <rgbColor rgb="FFFF6600"/>
      <rgbColor rgb="FF5B6B82"/>
      <rgbColor rgb="FF969696"/>
      <rgbColor rgb="FF003366"/>
      <rgbColor rgb="FF1E8449"/>
      <rgbColor rgb="FF0B1A30"/>
      <rgbColor rgb="FF333300"/>
      <rgbColor rgb="FFC0392B"/>
      <rgbColor rgb="FF993366"/>
      <rgbColor rgb="FF333399"/>
      <rgbColor rgb="FF33445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Headcount per Departemen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RINGKASAN!B5</c:f>
              <c:strCache>
                <c:ptCount val="1"/>
                <c:pt idx="0">
                  <c:v>Headcount aktif</c:v>
                </c:pt>
              </c:strCache>
            </c:strRef>
          </c:tx>
          <c:spPr>
            <a:solidFill>
              <a:srgbClr val="0ea5a4"/>
            </a:solidFill>
            <a:ln w="0">
              <a:solidFill>
                <a:srgbClr val="0ea5a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RINGKASAN!$A$6:$A$11</c:f>
              <c:strCache>
                <c:ptCount val="6"/>
                <c:pt idx="0">
                  <c:v>Operasional</c:v>
                </c:pt>
                <c:pt idx="1">
                  <c:v>Keuangan</c:v>
                </c:pt>
                <c:pt idx="2">
                  <c:v>Pemasaran</c:v>
                </c:pt>
                <c:pt idx="3">
                  <c:v>SDM</c:v>
                </c:pt>
                <c:pt idx="4">
                  <c:v>Teknologi</c:v>
                </c:pt>
                <c:pt idx="5">
                  <c:v>Penjualan</c:v>
                </c:pt>
              </c:strCache>
            </c:strRef>
          </c:cat>
          <c:val>
            <c:numRef>
              <c:f>RINGKASAN!$B$6:$B$11</c:f>
              <c:numCache>
                <c:formatCode>0</c:formatCode>
                <c:ptCount val="6"/>
                <c:pt idx="0">
                  <c:v>3</c:v>
                </c:pt>
                <c:pt idx="1">
                  <c:v>4</c:v>
                </c:pt>
                <c:pt idx="2">
                  <c:v>0</c:v>
                </c:pt>
                <c:pt idx="3">
                  <c:v>4</c:v>
                </c:pt>
                <c:pt idx="4">
                  <c:v>8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18123950"/>
        <c:axId val="24536378"/>
      </c:barChart>
      <c:catAx>
        <c:axId val="181239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536378"/>
        <c:crosses val="autoZero"/>
        <c:auto val="1"/>
        <c:lblAlgn val="ctr"/>
        <c:lblOffset val="100"/>
        <c:noMultiLvlLbl val="0"/>
      </c:catAx>
      <c:valAx>
        <c:axId val="24536378"/>
        <c:scaling>
          <c:orientation val="minMax"/>
        </c:scaling>
        <c:delete val="0"/>
        <c:axPos val="l"/>
        <c:majorGridlines>
          <c:spPr>
            <a:ln w="9360">
              <a:solidFill>
                <a:srgbClr val="e3e8f1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1239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0</xdr:rowOff>
    </xdr:from>
    <xdr:to>
      <xdr:col>4</xdr:col>
      <xdr:colOff>261720</xdr:colOff>
      <xdr:row>32</xdr:row>
      <xdr:rowOff>11880</xdr:rowOff>
    </xdr:to>
    <xdr:graphicFrame>
      <xdr:nvGraphicFramePr>
        <xdr:cNvPr id="0" name="Chart 1"/>
        <xdr:cNvGraphicFramePr/>
      </xdr:nvGraphicFramePr>
      <xdr:xfrm>
        <a:off x="0" y="3400560"/>
        <a:ext cx="57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0"/>
  </cols>
  <sheetData>
    <row r="1" customFormat="false" ht="15" hidden="false" customHeight="false" outlineLevel="0" collapsed="false">
      <c r="B1" s="1" t="s">
        <v>0</v>
      </c>
    </row>
    <row r="2" customFormat="false" ht="27.75" hidden="false" customHeight="true" outlineLevel="0" collapsed="false">
      <c r="B2" s="2" t="s">
        <v>1</v>
      </c>
    </row>
    <row r="3" customFormat="false" ht="43.5" hidden="false" customHeight="true" outlineLevel="0" collapsed="false">
      <c r="B3" s="3" t="s">
        <v>2</v>
      </c>
      <c r="C3" s="3"/>
    </row>
    <row r="5" customFormat="false" ht="15" hidden="false" customHeight="false" outlineLevel="0" collapsed="false">
      <c r="B5" s="4" t="s">
        <v>3</v>
      </c>
      <c r="C5" s="5" t="s">
        <v>4</v>
      </c>
    </row>
    <row r="7" customFormat="false" ht="15" hidden="false" customHeight="false" outlineLevel="0" collapsed="false">
      <c r="B7" s="6" t="s">
        <v>5</v>
      </c>
      <c r="C7" s="7"/>
    </row>
    <row r="8" customFormat="false" ht="30" hidden="false" customHeight="true" outlineLevel="0" collapsed="false">
      <c r="B8" s="8" t="s">
        <v>6</v>
      </c>
      <c r="C8" s="9" t="s">
        <v>7</v>
      </c>
    </row>
    <row r="9" customFormat="false" ht="30" hidden="false" customHeight="true" outlineLevel="0" collapsed="false">
      <c r="B9" s="8" t="s">
        <v>8</v>
      </c>
      <c r="C9" s="9" t="s">
        <v>9</v>
      </c>
    </row>
    <row r="10" customFormat="false" ht="30" hidden="false" customHeight="true" outlineLevel="0" collapsed="false">
      <c r="B10" s="8" t="s">
        <v>10</v>
      </c>
      <c r="C10" s="9" t="s">
        <v>11</v>
      </c>
    </row>
    <row r="11" customFormat="false" ht="15.75" hidden="false" customHeight="true" outlineLevel="0" collapsed="false">
      <c r="B11" s="8" t="s">
        <v>12</v>
      </c>
      <c r="C11" s="9" t="s">
        <v>13</v>
      </c>
    </row>
    <row r="13" customFormat="false" ht="15" hidden="false" customHeight="false" outlineLevel="0" collapsed="false">
      <c r="B13" s="6" t="s">
        <v>14</v>
      </c>
      <c r="C13" s="7"/>
    </row>
    <row r="14" customFormat="false" ht="30" hidden="false" customHeight="true" outlineLevel="0" collapsed="false">
      <c r="B14" s="8" t="s">
        <v>15</v>
      </c>
      <c r="C14" s="9" t="s">
        <v>16</v>
      </c>
    </row>
    <row r="15" customFormat="false" ht="30" hidden="false" customHeight="true" outlineLevel="0" collapsed="false">
      <c r="B15" s="8" t="s">
        <v>17</v>
      </c>
      <c r="C15" s="9" t="s">
        <v>18</v>
      </c>
    </row>
    <row r="16" customFormat="false" ht="30" hidden="false" customHeight="true" outlineLevel="0" collapsed="false">
      <c r="B16" s="8" t="s">
        <v>19</v>
      </c>
      <c r="C16" s="9" t="s">
        <v>20</v>
      </c>
    </row>
    <row r="17" customFormat="false" ht="30" hidden="false" customHeight="true" outlineLevel="0" collapsed="false">
      <c r="B17" s="8" t="s">
        <v>21</v>
      </c>
      <c r="C17" s="9" t="s">
        <v>22</v>
      </c>
    </row>
    <row r="18" customFormat="false" ht="30" hidden="false" customHeight="true" outlineLevel="0" collapsed="false">
      <c r="B18" s="8" t="s">
        <v>23</v>
      </c>
      <c r="C18" s="9" t="s">
        <v>24</v>
      </c>
    </row>
    <row r="19" customFormat="false" ht="15.75" hidden="false" customHeight="true" outlineLevel="0" collapsed="false">
      <c r="B19" s="8" t="s">
        <v>25</v>
      </c>
      <c r="C19" s="9" t="s">
        <v>26</v>
      </c>
    </row>
    <row r="21" customFormat="false" ht="15" hidden="false" customHeight="false" outlineLevel="0" collapsed="false">
      <c r="B21" s="6" t="s">
        <v>27</v>
      </c>
      <c r="C21" s="7"/>
    </row>
    <row r="22" customFormat="false" ht="15" hidden="false" customHeight="false" outlineLevel="0" collapsed="false">
      <c r="B22" s="10" t="s">
        <v>28</v>
      </c>
      <c r="C22" s="11" t="s">
        <v>29</v>
      </c>
    </row>
    <row r="23" customFormat="false" ht="15" hidden="false" customHeight="false" outlineLevel="0" collapsed="false">
      <c r="B23" s="12" t="s">
        <v>30</v>
      </c>
      <c r="C23" s="11" t="s">
        <v>31</v>
      </c>
    </row>
    <row r="24" customFormat="false" ht="15" hidden="false" customHeight="false" outlineLevel="0" collapsed="false">
      <c r="B24" s="11" t="s">
        <v>32</v>
      </c>
      <c r="C24" s="11" t="s">
        <v>33</v>
      </c>
    </row>
    <row r="26" customFormat="false" ht="15" hidden="false" customHeight="false" outlineLevel="0" collapsed="false">
      <c r="B26" s="6" t="s">
        <v>34</v>
      </c>
      <c r="C26" s="7"/>
    </row>
    <row r="27" customFormat="false" ht="15.75" hidden="false" customHeight="true" outlineLevel="0" collapsed="false">
      <c r="C27" s="9" t="s">
        <v>35</v>
      </c>
    </row>
    <row r="28" customFormat="false" ht="30" hidden="false" customHeight="true" outlineLevel="0" collapsed="false">
      <c r="C28" s="9" t="s">
        <v>36</v>
      </c>
    </row>
    <row r="29" customFormat="false" ht="30" hidden="false" customHeight="true" outlineLevel="0" collapsed="false">
      <c r="C29" s="9" t="s">
        <v>37</v>
      </c>
    </row>
    <row r="30" customFormat="false" ht="30" hidden="false" customHeight="true" outlineLevel="0" collapsed="false">
      <c r="C30" s="9" t="s">
        <v>38</v>
      </c>
    </row>
    <row r="31" customFormat="false" ht="30" hidden="false" customHeight="true" outlineLevel="0" collapsed="false">
      <c r="C31" s="9" t="s">
        <v>39</v>
      </c>
    </row>
    <row r="32" customFormat="false" ht="30" hidden="false" customHeight="true" outlineLevel="0" collapsed="false">
      <c r="C32" s="9" t="s">
        <v>40</v>
      </c>
    </row>
    <row r="33" customFormat="false" ht="30" hidden="false" customHeight="true" outlineLevel="0" collapsed="false">
      <c r="C33" s="9" t="s">
        <v>41</v>
      </c>
    </row>
  </sheetData>
  <sheetProtection sheet="true" formatColumns="false" formatRows="false"/>
  <mergeCells count="1"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5" min="3" style="0" width="20"/>
    <col collapsed="false" customWidth="true" hidden="false" outlineLevel="0" max="6" min="6" style="0" width="18"/>
    <col collapsed="false" customWidth="true" hidden="false" outlineLevel="0" max="8" min="7" style="0" width="14"/>
    <col collapsed="false" customWidth="true" hidden="false" outlineLevel="0" max="9" min="9" style="0" width="20"/>
  </cols>
  <sheetData>
    <row r="1" customFormat="false" ht="24" hidden="false" customHeight="true" outlineLevel="0" collapsed="false">
      <c r="A1" s="13" t="s">
        <v>42</v>
      </c>
    </row>
    <row r="2" customFormat="false" ht="15" hidden="false" customHeight="false" outlineLevel="0" collapsed="false">
      <c r="A2" s="14" t="s">
        <v>43</v>
      </c>
    </row>
    <row r="3" customFormat="false" ht="15" hidden="false" customHeight="false" outlineLevel="0" collapsed="false">
      <c r="A3" s="15" t="s">
        <v>44</v>
      </c>
      <c r="B3" s="15"/>
      <c r="C3" s="15"/>
      <c r="D3" s="15"/>
      <c r="E3" s="15"/>
      <c r="F3" s="15"/>
      <c r="G3" s="15"/>
      <c r="H3" s="15"/>
      <c r="I3" s="15"/>
    </row>
    <row r="5" customFormat="false" ht="15" hidden="false" customHeight="false" outlineLevel="0" collapsed="false">
      <c r="B5" s="16" t="s">
        <v>45</v>
      </c>
      <c r="C5" s="17" t="s">
        <v>46</v>
      </c>
      <c r="D5" s="17"/>
      <c r="E5" s="17"/>
    </row>
    <row r="6" customFormat="false" ht="15" hidden="false" customHeight="false" outlineLevel="0" collapsed="false">
      <c r="B6" s="16" t="s">
        <v>47</v>
      </c>
      <c r="C6" s="18" t="n">
        <v>10</v>
      </c>
      <c r="F6" s="19" t="s">
        <v>48</v>
      </c>
    </row>
    <row r="7" customFormat="false" ht="15" hidden="false" customHeight="false" outlineLevel="0" collapsed="false">
      <c r="B7" s="16" t="s">
        <v>49</v>
      </c>
      <c r="C7" s="18" t="n">
        <v>2026</v>
      </c>
    </row>
    <row r="8" customFormat="false" ht="15" hidden="false" customHeight="false" outlineLevel="0" collapsed="false">
      <c r="B8" s="16" t="s">
        <v>50</v>
      </c>
      <c r="C8" s="18" t="n">
        <v>22</v>
      </c>
    </row>
    <row r="9" customFormat="false" ht="15" hidden="false" customHeight="false" outlineLevel="0" collapsed="false">
      <c r="B9" s="16" t="s">
        <v>51</v>
      </c>
      <c r="C9" s="18" t="n">
        <v>173</v>
      </c>
    </row>
    <row r="10" customFormat="false" ht="15" hidden="false" customHeight="false" outlineLevel="0" collapsed="false">
      <c r="B10" s="16" t="s">
        <v>52</v>
      </c>
      <c r="C10" s="20" t="n">
        <v>1.75</v>
      </c>
      <c r="F10" s="19" t="s">
        <v>53</v>
      </c>
    </row>
    <row r="11" customFormat="false" ht="15" hidden="false" customHeight="false" outlineLevel="0" collapsed="false">
      <c r="B11" s="21" t="s">
        <v>54</v>
      </c>
      <c r="C11" s="22" t="n">
        <v>25000</v>
      </c>
    </row>
    <row r="12" customFormat="false" ht="15" hidden="false" customHeight="false" outlineLevel="0" collapsed="false">
      <c r="B12" s="21" t="s">
        <v>55</v>
      </c>
      <c r="C12" s="22" t="n">
        <v>30000</v>
      </c>
    </row>
    <row r="13" customFormat="false" ht="15" hidden="false" customHeight="false" outlineLevel="0" collapsed="false">
      <c r="B13" s="16" t="s">
        <v>56</v>
      </c>
      <c r="C13" s="23" t="n">
        <v>46326</v>
      </c>
    </row>
    <row r="14" customFormat="false" ht="15" hidden="false" customHeight="false" outlineLevel="0" collapsed="false">
      <c r="B14" s="16" t="s">
        <v>57</v>
      </c>
      <c r="C14" s="18" t="n">
        <v>12</v>
      </c>
    </row>
    <row r="15" customFormat="false" ht="15" hidden="false" customHeight="false" outlineLevel="0" collapsed="false">
      <c r="B15" s="16" t="s">
        <v>58</v>
      </c>
      <c r="C15" s="24" t="n">
        <v>0.05</v>
      </c>
    </row>
    <row r="16" customFormat="false" ht="15" hidden="false" customHeight="false" outlineLevel="0" collapsed="false">
      <c r="B16" s="16" t="s">
        <v>59</v>
      </c>
      <c r="C16" s="22" t="n">
        <v>6000000</v>
      </c>
    </row>
    <row r="17" customFormat="false" ht="15" hidden="false" customHeight="false" outlineLevel="0" collapsed="false">
      <c r="B17" s="16" t="s">
        <v>60</v>
      </c>
      <c r="C17" s="17" t="s">
        <v>61</v>
      </c>
    </row>
    <row r="18" customFormat="false" ht="15" hidden="false" customHeight="false" outlineLevel="0" collapsed="false">
      <c r="B18" s="16" t="s">
        <v>62</v>
      </c>
      <c r="C18" s="17" t="s">
        <v>63</v>
      </c>
    </row>
    <row r="20" customFormat="false" ht="15" hidden="false" customHeight="false" outlineLevel="0" collapsed="false">
      <c r="B20" s="6" t="s">
        <v>64</v>
      </c>
      <c r="C20" s="7"/>
      <c r="D20" s="7"/>
      <c r="E20" s="7"/>
    </row>
    <row r="21" customFormat="false" ht="19.5" hidden="false" customHeight="true" outlineLevel="0" collapsed="false">
      <c r="B21" s="25" t="s">
        <v>65</v>
      </c>
      <c r="C21" s="25" t="s">
        <v>66</v>
      </c>
      <c r="D21" s="25" t="s">
        <v>67</v>
      </c>
      <c r="E21" s="25" t="s">
        <v>68</v>
      </c>
    </row>
    <row r="22" customFormat="false" ht="15" hidden="false" customHeight="false" outlineLevel="0" collapsed="false">
      <c r="B22" s="16" t="s">
        <v>69</v>
      </c>
      <c r="C22" s="26" t="n">
        <v>0.037</v>
      </c>
      <c r="D22" s="26" t="n">
        <v>0.02</v>
      </c>
      <c r="E22" s="27" t="n">
        <v>9999999999</v>
      </c>
    </row>
    <row r="23" customFormat="false" ht="15" hidden="false" customHeight="false" outlineLevel="0" collapsed="false">
      <c r="B23" s="16" t="s">
        <v>70</v>
      </c>
      <c r="C23" s="26" t="n">
        <v>0.02</v>
      </c>
      <c r="D23" s="26" t="n">
        <v>0.01</v>
      </c>
      <c r="E23" s="27" t="n">
        <v>10547400</v>
      </c>
    </row>
    <row r="24" customFormat="false" ht="15" hidden="false" customHeight="false" outlineLevel="0" collapsed="false">
      <c r="B24" s="16" t="s">
        <v>71</v>
      </c>
      <c r="C24" s="26" t="n">
        <v>0.0024</v>
      </c>
      <c r="D24" s="26" t="n">
        <v>0</v>
      </c>
      <c r="E24" s="27" t="n">
        <v>9999999999</v>
      </c>
    </row>
    <row r="25" customFormat="false" ht="15" hidden="false" customHeight="false" outlineLevel="0" collapsed="false">
      <c r="B25" s="16" t="s">
        <v>72</v>
      </c>
      <c r="C25" s="26" t="n">
        <v>0.003</v>
      </c>
      <c r="D25" s="26" t="n">
        <v>0</v>
      </c>
      <c r="E25" s="27" t="n">
        <v>9999999999</v>
      </c>
    </row>
    <row r="26" customFormat="false" ht="15" hidden="false" customHeight="false" outlineLevel="0" collapsed="false">
      <c r="B26" s="16" t="s">
        <v>73</v>
      </c>
      <c r="C26" s="26" t="n">
        <v>0.04</v>
      </c>
      <c r="D26" s="26" t="n">
        <v>0.01</v>
      </c>
      <c r="E26" s="27" t="n">
        <v>12000000</v>
      </c>
    </row>
    <row r="27" customFormat="false" ht="15" hidden="false" customHeight="false" outlineLevel="0" collapsed="false">
      <c r="B27" s="19" t="s">
        <v>74</v>
      </c>
    </row>
    <row r="29" customFormat="false" ht="15" hidden="false" customHeight="false" outlineLevel="0" collapsed="false">
      <c r="B29" s="6" t="s">
        <v>75</v>
      </c>
      <c r="C29" s="7"/>
      <c r="D29" s="7"/>
      <c r="F29" s="6" t="s">
        <v>76</v>
      </c>
      <c r="G29" s="7"/>
      <c r="H29" s="7"/>
    </row>
    <row r="30" customFormat="false" ht="19.5" hidden="false" customHeight="true" outlineLevel="0" collapsed="false">
      <c r="B30" s="25" t="s">
        <v>77</v>
      </c>
      <c r="C30" s="25" t="s">
        <v>78</v>
      </c>
      <c r="D30" s="25" t="s">
        <v>79</v>
      </c>
      <c r="F30" s="25" t="s">
        <v>80</v>
      </c>
      <c r="G30" s="25" t="s">
        <v>81</v>
      </c>
      <c r="H30" s="25" t="s">
        <v>82</v>
      </c>
    </row>
    <row r="31" customFormat="false" ht="15" hidden="false" customHeight="false" outlineLevel="0" collapsed="false">
      <c r="B31" s="16" t="s">
        <v>83</v>
      </c>
      <c r="C31" s="27" t="n">
        <v>54000000</v>
      </c>
      <c r="D31" s="28" t="s">
        <v>84</v>
      </c>
      <c r="F31" s="27" t="n">
        <v>0</v>
      </c>
      <c r="G31" s="29" t="n">
        <v>0.05</v>
      </c>
      <c r="H31" s="30" t="n">
        <f aca="false">G31</f>
        <v>0.05</v>
      </c>
    </row>
    <row r="32" customFormat="false" ht="15" hidden="false" customHeight="false" outlineLevel="0" collapsed="false">
      <c r="B32" s="16" t="s">
        <v>85</v>
      </c>
      <c r="C32" s="27" t="n">
        <v>58500000</v>
      </c>
      <c r="D32" s="28" t="s">
        <v>84</v>
      </c>
      <c r="F32" s="27" t="n">
        <v>60000000</v>
      </c>
      <c r="G32" s="29" t="n">
        <v>0.15</v>
      </c>
      <c r="H32" s="30" t="n">
        <f aca="false">G32-G31</f>
        <v>0.1</v>
      </c>
    </row>
    <row r="33" customFormat="false" ht="15" hidden="false" customHeight="false" outlineLevel="0" collapsed="false">
      <c r="B33" s="16" t="s">
        <v>86</v>
      </c>
      <c r="C33" s="27" t="n">
        <v>63000000</v>
      </c>
      <c r="D33" s="28" t="s">
        <v>87</v>
      </c>
      <c r="F33" s="27" t="n">
        <v>250000000</v>
      </c>
      <c r="G33" s="29" t="n">
        <v>0.25</v>
      </c>
      <c r="H33" s="30" t="n">
        <f aca="false">G33-G32</f>
        <v>0.1</v>
      </c>
    </row>
    <row r="34" customFormat="false" ht="15" hidden="false" customHeight="false" outlineLevel="0" collapsed="false">
      <c r="B34" s="16" t="s">
        <v>88</v>
      </c>
      <c r="C34" s="27" t="n">
        <v>67500000</v>
      </c>
      <c r="D34" s="28" t="s">
        <v>87</v>
      </c>
      <c r="F34" s="27" t="n">
        <v>500000000</v>
      </c>
      <c r="G34" s="29" t="n">
        <v>0.3</v>
      </c>
      <c r="H34" s="30" t="n">
        <f aca="false">G34-G33</f>
        <v>0.05</v>
      </c>
    </row>
    <row r="35" customFormat="false" ht="15" hidden="false" customHeight="false" outlineLevel="0" collapsed="false">
      <c r="B35" s="16" t="s">
        <v>89</v>
      </c>
      <c r="C35" s="27" t="n">
        <v>58500000</v>
      </c>
      <c r="D35" s="28" t="s">
        <v>84</v>
      </c>
      <c r="F35" s="27" t="n">
        <v>5000000000</v>
      </c>
      <c r="G35" s="29" t="n">
        <v>0.35</v>
      </c>
      <c r="H35" s="30" t="n">
        <f aca="false">G35-G34</f>
        <v>0.05</v>
      </c>
    </row>
    <row r="36" customFormat="false" ht="15" hidden="false" customHeight="false" outlineLevel="0" collapsed="false">
      <c r="B36" s="16" t="s">
        <v>90</v>
      </c>
      <c r="C36" s="27" t="n">
        <v>63000000</v>
      </c>
      <c r="D36" s="28" t="s">
        <v>87</v>
      </c>
    </row>
    <row r="37" customFormat="false" ht="15" hidden="false" customHeight="false" outlineLevel="0" collapsed="false">
      <c r="B37" s="16" t="s">
        <v>91</v>
      </c>
      <c r="C37" s="27" t="n">
        <v>67500000</v>
      </c>
      <c r="D37" s="28" t="s">
        <v>87</v>
      </c>
    </row>
    <row r="38" customFormat="false" ht="15" hidden="false" customHeight="false" outlineLevel="0" collapsed="false">
      <c r="B38" s="16" t="s">
        <v>92</v>
      </c>
      <c r="C38" s="27" t="n">
        <v>72000000</v>
      </c>
      <c r="D38" s="28" t="s">
        <v>93</v>
      </c>
    </row>
    <row r="40" customFormat="false" ht="15" hidden="false" customHeight="false" outlineLevel="0" collapsed="false">
      <c r="B40" s="6" t="s">
        <v>94</v>
      </c>
      <c r="C40" s="7"/>
      <c r="D40" s="7"/>
      <c r="E40" s="7"/>
      <c r="F40" s="7"/>
      <c r="G40" s="7"/>
      <c r="H40" s="7"/>
      <c r="I40" s="7"/>
    </row>
    <row r="41" customFormat="false" ht="21.75" hidden="false" customHeight="true" outlineLevel="0" collapsed="false">
      <c r="B41" s="25" t="s">
        <v>95</v>
      </c>
      <c r="C41" s="25" t="s">
        <v>96</v>
      </c>
      <c r="D41" s="25" t="s">
        <v>97</v>
      </c>
      <c r="E41" s="25" t="s">
        <v>98</v>
      </c>
      <c r="F41" s="25" t="s">
        <v>99</v>
      </c>
      <c r="G41" s="25" t="s">
        <v>100</v>
      </c>
      <c r="H41" s="25" t="s">
        <v>101</v>
      </c>
      <c r="I41" s="25" t="s">
        <v>102</v>
      </c>
    </row>
    <row r="42" customFormat="false" ht="15" hidden="false" customHeight="false" outlineLevel="0" collapsed="false">
      <c r="B42" s="31" t="s">
        <v>103</v>
      </c>
      <c r="C42" s="31" t="s">
        <v>104</v>
      </c>
      <c r="D42" s="31" t="s">
        <v>105</v>
      </c>
      <c r="E42" s="31" t="s">
        <v>106</v>
      </c>
      <c r="F42" s="31" t="s">
        <v>107</v>
      </c>
      <c r="G42" s="31" t="s">
        <v>108</v>
      </c>
      <c r="H42" s="31" t="s">
        <v>109</v>
      </c>
      <c r="I42" s="31" t="s">
        <v>110</v>
      </c>
    </row>
    <row r="43" customFormat="false" ht="15" hidden="false" customHeight="false" outlineLevel="0" collapsed="false">
      <c r="B43" s="31" t="s">
        <v>111</v>
      </c>
      <c r="C43" s="31" t="s">
        <v>112</v>
      </c>
      <c r="D43" s="31" t="s">
        <v>113</v>
      </c>
      <c r="E43" s="31" t="s">
        <v>114</v>
      </c>
      <c r="F43" s="31" t="s">
        <v>115</v>
      </c>
      <c r="G43" s="31" t="s">
        <v>116</v>
      </c>
      <c r="H43" s="31" t="s">
        <v>117</v>
      </c>
      <c r="I43" s="31" t="s">
        <v>118</v>
      </c>
    </row>
    <row r="44" customFormat="false" ht="15" hidden="false" customHeight="false" outlineLevel="0" collapsed="false">
      <c r="B44" s="31" t="s">
        <v>119</v>
      </c>
      <c r="C44" s="31" t="s">
        <v>120</v>
      </c>
      <c r="D44" s="31" t="s">
        <v>121</v>
      </c>
      <c r="E44" s="31" t="s">
        <v>122</v>
      </c>
      <c r="F44" s="31" t="s">
        <v>123</v>
      </c>
      <c r="G44" s="31" t="s">
        <v>124</v>
      </c>
      <c r="H44" s="31" t="s">
        <v>125</v>
      </c>
      <c r="I44" s="31" t="s">
        <v>126</v>
      </c>
    </row>
    <row r="45" customFormat="false" ht="15" hidden="false" customHeight="false" outlineLevel="0" collapsed="false">
      <c r="B45" s="31" t="s">
        <v>127</v>
      </c>
      <c r="C45" s="31" t="s">
        <v>128</v>
      </c>
      <c r="D45" s="31" t="s">
        <v>129</v>
      </c>
      <c r="E45" s="31" t="s">
        <v>130</v>
      </c>
      <c r="F45" s="31" t="s">
        <v>131</v>
      </c>
      <c r="G45" s="31" t="s">
        <v>132</v>
      </c>
      <c r="H45" s="31"/>
      <c r="I45" s="31" t="s">
        <v>133</v>
      </c>
    </row>
    <row r="46" customFormat="false" ht="15" hidden="false" customHeight="false" outlineLevel="0" collapsed="false">
      <c r="B46" s="31" t="s">
        <v>134</v>
      </c>
      <c r="C46" s="31" t="s">
        <v>135</v>
      </c>
      <c r="D46" s="31"/>
      <c r="E46" s="31" t="s">
        <v>136</v>
      </c>
      <c r="F46" s="31" t="s">
        <v>137</v>
      </c>
      <c r="G46" s="31" t="s">
        <v>138</v>
      </c>
      <c r="H46" s="31"/>
      <c r="I46" s="31" t="s">
        <v>139</v>
      </c>
    </row>
    <row r="47" customFormat="false" ht="15" hidden="false" customHeight="false" outlineLevel="0" collapsed="false">
      <c r="B47" s="31" t="s">
        <v>140</v>
      </c>
      <c r="C47" s="31"/>
      <c r="D47" s="31"/>
      <c r="E47" s="31" t="s">
        <v>141</v>
      </c>
      <c r="F47" s="31" t="s">
        <v>142</v>
      </c>
      <c r="G47" s="31"/>
      <c r="H47" s="31"/>
      <c r="I47" s="31"/>
    </row>
    <row r="48" customFormat="false" ht="15" hidden="false" customHeight="false" outlineLevel="0" collapsed="false">
      <c r="B48" s="31"/>
      <c r="C48" s="31"/>
      <c r="D48" s="31"/>
      <c r="E48" s="31" t="s">
        <v>125</v>
      </c>
      <c r="F48" s="31"/>
      <c r="G48" s="31"/>
      <c r="H48" s="31"/>
      <c r="I48" s="31"/>
    </row>
    <row r="49" customFormat="false" ht="15" hidden="false" customHeight="false" outlineLevel="0" collapsed="false">
      <c r="B49" s="31"/>
      <c r="C49" s="31"/>
      <c r="D49" s="31"/>
      <c r="E49" s="31"/>
      <c r="F49" s="31"/>
      <c r="G49" s="31"/>
      <c r="H49" s="31"/>
      <c r="I49" s="31"/>
    </row>
    <row r="50" customFormat="false" ht="15" hidden="false" customHeight="false" outlineLevel="0" collapsed="false">
      <c r="B50" s="19" t="s">
        <v>143</v>
      </c>
    </row>
    <row r="52" customFormat="false" ht="15" hidden="false" customHeight="false" outlineLevel="0" collapsed="false">
      <c r="B52" s="6" t="s">
        <v>144</v>
      </c>
      <c r="C52" s="7"/>
      <c r="D52" s="7"/>
    </row>
    <row r="53" customFormat="false" ht="19.5" hidden="false" customHeight="true" outlineLevel="0" collapsed="false">
      <c r="B53" s="25" t="s">
        <v>145</v>
      </c>
      <c r="C53" s="25" t="s">
        <v>146</v>
      </c>
      <c r="D53" s="25" t="s">
        <v>147</v>
      </c>
    </row>
    <row r="54" customFormat="false" ht="15" hidden="false" customHeight="false" outlineLevel="0" collapsed="false">
      <c r="B54" s="31" t="s">
        <v>148</v>
      </c>
      <c r="C54" s="32" t="n">
        <v>5000000</v>
      </c>
      <c r="D54" s="32" t="n">
        <v>7500000</v>
      </c>
    </row>
    <row r="55" customFormat="false" ht="15" hidden="false" customHeight="false" outlineLevel="0" collapsed="false">
      <c r="B55" s="31" t="s">
        <v>149</v>
      </c>
      <c r="C55" s="32" t="n">
        <v>6500000</v>
      </c>
      <c r="D55" s="32" t="n">
        <v>10000000</v>
      </c>
    </row>
    <row r="56" customFormat="false" ht="15" hidden="false" customHeight="false" outlineLevel="0" collapsed="false">
      <c r="B56" s="31" t="s">
        <v>150</v>
      </c>
      <c r="C56" s="32" t="n">
        <v>9000000</v>
      </c>
      <c r="D56" s="32" t="n">
        <v>14000000</v>
      </c>
    </row>
    <row r="57" customFormat="false" ht="15" hidden="false" customHeight="false" outlineLevel="0" collapsed="false">
      <c r="B57" s="31" t="s">
        <v>151</v>
      </c>
      <c r="C57" s="32" t="n">
        <v>13000000</v>
      </c>
      <c r="D57" s="32" t="n">
        <v>21000000</v>
      </c>
    </row>
    <row r="58" customFormat="false" ht="15" hidden="false" customHeight="false" outlineLevel="0" collapsed="false">
      <c r="B58" s="31" t="s">
        <v>152</v>
      </c>
      <c r="C58" s="32" t="n">
        <v>19000000</v>
      </c>
      <c r="D58" s="32" t="n">
        <v>32000000</v>
      </c>
    </row>
    <row r="59" customFormat="false" ht="15" hidden="false" customHeight="false" outlineLevel="0" collapsed="false">
      <c r="B59" s="31" t="s">
        <v>153</v>
      </c>
      <c r="C59" s="32" t="n">
        <v>30000000</v>
      </c>
      <c r="D59" s="32" t="n">
        <v>55000000</v>
      </c>
    </row>
    <row r="60" customFormat="false" ht="15" hidden="false" customHeight="false" outlineLevel="0" collapsed="false">
      <c r="B60" s="31"/>
      <c r="C60" s="32"/>
      <c r="D60" s="32"/>
    </row>
    <row r="61" customFormat="false" ht="15" hidden="false" customHeight="false" outlineLevel="0" collapsed="false">
      <c r="B61" s="31"/>
      <c r="C61" s="32"/>
      <c r="D61" s="32"/>
    </row>
  </sheetData>
  <sheetProtection sheet="true" formatColumns="false" formatRows="false"/>
  <mergeCells count="2">
    <mergeCell ref="A3:I3"/>
    <mergeCell ref="C5:E5"/>
  </mergeCells>
  <dataValidations count="4">
    <dataValidation allowBlank="true" error="Isi angka antara 1 dan 12" errorStyle="stop" operator="between" showDropDown="false" showErrorMessage="true" showInputMessage="false" sqref="C6" type="whole">
      <formula1>1</formula1>
      <formula2>12</formula2>
    </dataValidation>
    <dataValidation allowBlank="true" error="Isi angka antara 1 dan 31" errorStyle="stop" operator="between" showDropDown="false" showErrorMessage="true" showInputMessage="false" sqref="C8" type="whole">
      <formula1>1</formula1>
      <formula2>31</formula2>
    </dataValidation>
    <dataValidation allowBlank="true" error="Isi angka antara 1 dan 4" errorStyle="stop" operator="between" showDropDown="false" showErrorMessage="true" showInputMessage="false" sqref="C10" type="decimal">
      <formula1>1</formula1>
      <formula2>4</formula2>
    </dataValidation>
    <dataValidation allowBlank="true" errorStyle="stop" operator="between" showDropDown="false" showErrorMessage="false" showInputMessage="false" sqref="D31:D38" type="list">
      <formula1>"A,B,C"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3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3"/>
    <col collapsed="false" customWidth="true" hidden="false" outlineLevel="0" max="8" min="8" style="0" width="20"/>
    <col collapsed="false" customWidth="true" hidden="false" outlineLevel="0" max="9" min="9" style="0" width="10"/>
  </cols>
  <sheetData>
    <row r="1" customFormat="false" ht="24" hidden="false" customHeight="true" outlineLevel="0" collapsed="false">
      <c r="A1" s="13" t="s">
        <v>154</v>
      </c>
    </row>
    <row r="2" customFormat="false" ht="15" hidden="false" customHeight="false" outlineLevel="0" collapsed="false">
      <c r="A2" s="14" t="s">
        <v>155</v>
      </c>
    </row>
    <row r="3" customFormat="false" ht="15" hidden="false" customHeight="false" outlineLevel="0" collapsed="false">
      <c r="A3" s="15" t="s">
        <v>44</v>
      </c>
      <c r="B3" s="15"/>
      <c r="C3" s="15"/>
      <c r="D3" s="15"/>
      <c r="E3" s="15"/>
      <c r="F3" s="15"/>
      <c r="G3" s="15"/>
      <c r="H3" s="15"/>
      <c r="I3" s="15"/>
    </row>
    <row r="5" customFormat="false" ht="15" hidden="false" customHeight="false" outlineLevel="0" collapsed="false">
      <c r="B5" s="6" t="s">
        <v>156</v>
      </c>
      <c r="C5" s="7"/>
      <c r="E5" s="6" t="s">
        <v>157</v>
      </c>
      <c r="F5" s="7"/>
      <c r="H5" s="6" t="s">
        <v>158</v>
      </c>
      <c r="I5" s="7"/>
    </row>
    <row r="6" customFormat="false" ht="19.5" hidden="false" customHeight="true" outlineLevel="0" collapsed="false">
      <c r="B6" s="25" t="s">
        <v>159</v>
      </c>
      <c r="C6" s="25" t="s">
        <v>81</v>
      </c>
      <c r="E6" s="25" t="s">
        <v>159</v>
      </c>
      <c r="F6" s="25" t="s">
        <v>81</v>
      </c>
      <c r="H6" s="25" t="s">
        <v>159</v>
      </c>
      <c r="I6" s="25" t="s">
        <v>81</v>
      </c>
    </row>
    <row r="7" customFormat="false" ht="15" hidden="false" customHeight="false" outlineLevel="0" collapsed="false">
      <c r="B7" s="32" t="n">
        <v>0</v>
      </c>
      <c r="C7" s="33" t="n">
        <v>0</v>
      </c>
      <c r="E7" s="32" t="n">
        <v>0</v>
      </c>
      <c r="F7" s="33" t="n">
        <v>0</v>
      </c>
      <c r="H7" s="32" t="n">
        <v>0</v>
      </c>
      <c r="I7" s="33" t="n">
        <v>0</v>
      </c>
    </row>
    <row r="8" customFormat="false" ht="15" hidden="false" customHeight="false" outlineLevel="0" collapsed="false">
      <c r="B8" s="32" t="n">
        <v>5400001</v>
      </c>
      <c r="C8" s="33" t="n">
        <v>0.0025</v>
      </c>
      <c r="E8" s="32" t="n">
        <v>6200001</v>
      </c>
      <c r="F8" s="33" t="n">
        <v>0.0025</v>
      </c>
      <c r="H8" s="32" t="n">
        <v>6600001</v>
      </c>
      <c r="I8" s="33" t="n">
        <v>0.0025</v>
      </c>
    </row>
    <row r="9" customFormat="false" ht="15" hidden="false" customHeight="false" outlineLevel="0" collapsed="false">
      <c r="B9" s="32" t="n">
        <v>5650001</v>
      </c>
      <c r="C9" s="33" t="n">
        <v>0.005</v>
      </c>
      <c r="E9" s="32" t="n">
        <v>6500001</v>
      </c>
      <c r="F9" s="33" t="n">
        <v>0.005</v>
      </c>
      <c r="H9" s="32" t="n">
        <v>6950001</v>
      </c>
      <c r="I9" s="33" t="n">
        <v>0.005</v>
      </c>
    </row>
    <row r="10" customFormat="false" ht="15" hidden="false" customHeight="false" outlineLevel="0" collapsed="false">
      <c r="B10" s="32" t="n">
        <v>5950001</v>
      </c>
      <c r="C10" s="33" t="n">
        <v>0.0075</v>
      </c>
      <c r="E10" s="32" t="n">
        <v>6850001</v>
      </c>
      <c r="F10" s="33" t="n">
        <v>0.0075</v>
      </c>
      <c r="H10" s="32" t="n">
        <v>7350001</v>
      </c>
      <c r="I10" s="33" t="n">
        <v>0.0075</v>
      </c>
    </row>
    <row r="11" customFormat="false" ht="15" hidden="false" customHeight="false" outlineLevel="0" collapsed="false">
      <c r="B11" s="32" t="n">
        <v>6300001</v>
      </c>
      <c r="C11" s="33" t="n">
        <v>0.01</v>
      </c>
      <c r="E11" s="32" t="n">
        <v>7300001</v>
      </c>
      <c r="F11" s="33" t="n">
        <v>0.01</v>
      </c>
      <c r="H11" s="32" t="n">
        <v>7800001</v>
      </c>
      <c r="I11" s="33" t="n">
        <v>0.01</v>
      </c>
    </row>
    <row r="12" customFormat="false" ht="15" hidden="false" customHeight="false" outlineLevel="0" collapsed="false">
      <c r="B12" s="32" t="n">
        <v>6750001</v>
      </c>
      <c r="C12" s="33" t="n">
        <v>0.0125</v>
      </c>
      <c r="E12" s="32" t="n">
        <v>9200001</v>
      </c>
      <c r="F12" s="33" t="n">
        <v>0.015</v>
      </c>
      <c r="H12" s="32" t="n">
        <v>8850001</v>
      </c>
      <c r="I12" s="33" t="n">
        <v>0.0125</v>
      </c>
    </row>
    <row r="13" customFormat="false" ht="15" hidden="false" customHeight="false" outlineLevel="0" collapsed="false">
      <c r="B13" s="32" t="n">
        <v>7500001</v>
      </c>
      <c r="C13" s="33" t="n">
        <v>0.015</v>
      </c>
      <c r="E13" s="32" t="n">
        <v>10750001</v>
      </c>
      <c r="F13" s="33" t="n">
        <v>0.02</v>
      </c>
      <c r="H13" s="32" t="n">
        <v>9800001</v>
      </c>
      <c r="I13" s="33" t="n">
        <v>0.015</v>
      </c>
    </row>
    <row r="14" customFormat="false" ht="15" hidden="false" customHeight="false" outlineLevel="0" collapsed="false">
      <c r="B14" s="32" t="n">
        <v>8550001</v>
      </c>
      <c r="C14" s="33" t="n">
        <v>0.0175</v>
      </c>
      <c r="E14" s="32" t="n">
        <v>11250001</v>
      </c>
      <c r="F14" s="33" t="n">
        <v>0.025</v>
      </c>
      <c r="H14" s="32" t="n">
        <v>10950001</v>
      </c>
      <c r="I14" s="33" t="n">
        <v>0.0175</v>
      </c>
    </row>
    <row r="15" customFormat="false" ht="15" hidden="false" customHeight="false" outlineLevel="0" collapsed="false">
      <c r="B15" s="32" t="n">
        <v>9650001</v>
      </c>
      <c r="C15" s="33" t="n">
        <v>0.02</v>
      </c>
      <c r="E15" s="32" t="n">
        <v>11600001</v>
      </c>
      <c r="F15" s="33" t="n">
        <v>0.03</v>
      </c>
      <c r="H15" s="32" t="n">
        <v>11200001</v>
      </c>
      <c r="I15" s="33" t="n">
        <v>0.02</v>
      </c>
    </row>
    <row r="16" customFormat="false" ht="15" hidden="false" customHeight="false" outlineLevel="0" collapsed="false">
      <c r="B16" s="32" t="n">
        <v>10050001</v>
      </c>
      <c r="C16" s="33" t="n">
        <v>0.0225</v>
      </c>
      <c r="E16" s="32" t="n">
        <v>12600001</v>
      </c>
      <c r="F16" s="33" t="n">
        <v>0.04</v>
      </c>
      <c r="H16" s="32" t="n">
        <v>12050001</v>
      </c>
      <c r="I16" s="33" t="n">
        <v>0.03</v>
      </c>
    </row>
    <row r="17" customFormat="false" ht="15" hidden="false" customHeight="false" outlineLevel="0" collapsed="false">
      <c r="B17" s="32" t="n">
        <v>10350001</v>
      </c>
      <c r="C17" s="33" t="n">
        <v>0.025</v>
      </c>
      <c r="E17" s="32" t="n">
        <v>13600001</v>
      </c>
      <c r="F17" s="33" t="n">
        <v>0.05</v>
      </c>
      <c r="H17" s="32" t="n">
        <v>12950001</v>
      </c>
      <c r="I17" s="33" t="n">
        <v>0.04</v>
      </c>
    </row>
    <row r="18" customFormat="false" ht="15" hidden="false" customHeight="false" outlineLevel="0" collapsed="false">
      <c r="B18" s="32" t="n">
        <v>10700001</v>
      </c>
      <c r="C18" s="33" t="n">
        <v>0.03</v>
      </c>
      <c r="E18" s="32" t="n">
        <v>14950001</v>
      </c>
      <c r="F18" s="33" t="n">
        <v>0.06</v>
      </c>
      <c r="H18" s="32" t="n">
        <v>14150001</v>
      </c>
      <c r="I18" s="33" t="n">
        <v>0.05</v>
      </c>
    </row>
    <row r="19" customFormat="false" ht="15" hidden="false" customHeight="false" outlineLevel="0" collapsed="false">
      <c r="B19" s="32" t="n">
        <v>11050001</v>
      </c>
      <c r="C19" s="33" t="n">
        <v>0.035</v>
      </c>
      <c r="E19" s="32" t="n">
        <v>16400001</v>
      </c>
      <c r="F19" s="33" t="n">
        <v>0.07</v>
      </c>
      <c r="H19" s="32" t="n">
        <v>15550001</v>
      </c>
      <c r="I19" s="33" t="n">
        <v>0.06</v>
      </c>
    </row>
    <row r="20" customFormat="false" ht="15" hidden="false" customHeight="false" outlineLevel="0" collapsed="false">
      <c r="B20" s="32" t="n">
        <v>11600001</v>
      </c>
      <c r="C20" s="33" t="n">
        <v>0.04</v>
      </c>
      <c r="E20" s="32" t="n">
        <v>18450001</v>
      </c>
      <c r="F20" s="33" t="n">
        <v>0.08</v>
      </c>
      <c r="H20" s="32" t="n">
        <v>17050001</v>
      </c>
      <c r="I20" s="33" t="n">
        <v>0.07</v>
      </c>
    </row>
    <row r="21" customFormat="false" ht="15" hidden="false" customHeight="false" outlineLevel="0" collapsed="false">
      <c r="B21" s="32" t="n">
        <v>12500001</v>
      </c>
      <c r="C21" s="33" t="n">
        <v>0.05</v>
      </c>
      <c r="E21" s="32" t="n">
        <v>21850001</v>
      </c>
      <c r="F21" s="33" t="n">
        <v>0.09</v>
      </c>
      <c r="H21" s="32" t="n">
        <v>19500001</v>
      </c>
      <c r="I21" s="33" t="n">
        <v>0.08</v>
      </c>
    </row>
    <row r="22" customFormat="false" ht="15" hidden="false" customHeight="false" outlineLevel="0" collapsed="false">
      <c r="B22" s="32" t="n">
        <v>13750001</v>
      </c>
      <c r="C22" s="33" t="n">
        <v>0.06</v>
      </c>
      <c r="E22" s="32" t="n">
        <v>26000001</v>
      </c>
      <c r="F22" s="33" t="n">
        <v>0.1</v>
      </c>
      <c r="H22" s="32" t="n">
        <v>22700001</v>
      </c>
      <c r="I22" s="33" t="n">
        <v>0.09</v>
      </c>
    </row>
    <row r="23" customFormat="false" ht="15" hidden="false" customHeight="false" outlineLevel="0" collapsed="false">
      <c r="B23" s="32" t="n">
        <v>15100001</v>
      </c>
      <c r="C23" s="33" t="n">
        <v>0.07</v>
      </c>
      <c r="E23" s="32" t="n">
        <v>27700001</v>
      </c>
      <c r="F23" s="33" t="n">
        <v>0.11</v>
      </c>
      <c r="H23" s="32" t="n">
        <v>26600001</v>
      </c>
      <c r="I23" s="33" t="n">
        <v>0.1</v>
      </c>
    </row>
    <row r="24" customFormat="false" ht="15" hidden="false" customHeight="false" outlineLevel="0" collapsed="false">
      <c r="B24" s="32" t="n">
        <v>16950001</v>
      </c>
      <c r="C24" s="33" t="n">
        <v>0.08</v>
      </c>
      <c r="E24" s="32" t="n">
        <v>29350001</v>
      </c>
      <c r="F24" s="33" t="n">
        <v>0.12</v>
      </c>
      <c r="H24" s="32" t="n">
        <v>28100001</v>
      </c>
      <c r="I24" s="33" t="n">
        <v>0.11</v>
      </c>
    </row>
    <row r="25" customFormat="false" ht="15" hidden="false" customHeight="false" outlineLevel="0" collapsed="false">
      <c r="B25" s="32" t="n">
        <v>19750001</v>
      </c>
      <c r="C25" s="33" t="n">
        <v>0.09</v>
      </c>
      <c r="E25" s="32" t="n">
        <v>31450001</v>
      </c>
      <c r="F25" s="33" t="n">
        <v>0.13</v>
      </c>
      <c r="H25" s="32" t="n">
        <v>30100001</v>
      </c>
      <c r="I25" s="33" t="n">
        <v>0.12</v>
      </c>
    </row>
    <row r="26" customFormat="false" ht="15" hidden="false" customHeight="false" outlineLevel="0" collapsed="false">
      <c r="B26" s="32" t="n">
        <v>24150001</v>
      </c>
      <c r="C26" s="33" t="n">
        <v>0.1</v>
      </c>
      <c r="E26" s="32" t="n">
        <v>33950001</v>
      </c>
      <c r="F26" s="33" t="n">
        <v>0.14</v>
      </c>
      <c r="H26" s="32" t="n">
        <v>32600001</v>
      </c>
      <c r="I26" s="33" t="n">
        <v>0.13</v>
      </c>
    </row>
    <row r="27" customFormat="false" ht="15" hidden="false" customHeight="false" outlineLevel="0" collapsed="false">
      <c r="B27" s="32" t="n">
        <v>26450001</v>
      </c>
      <c r="C27" s="33" t="n">
        <v>0.11</v>
      </c>
      <c r="E27" s="32" t="n">
        <v>37100001</v>
      </c>
      <c r="F27" s="33" t="n">
        <v>0.15</v>
      </c>
      <c r="H27" s="32" t="n">
        <v>35400001</v>
      </c>
      <c r="I27" s="33" t="n">
        <v>0.14</v>
      </c>
    </row>
    <row r="28" customFormat="false" ht="15" hidden="false" customHeight="false" outlineLevel="0" collapsed="false">
      <c r="B28" s="32" t="n">
        <v>28000001</v>
      </c>
      <c r="C28" s="33" t="n">
        <v>0.12</v>
      </c>
      <c r="E28" s="32" t="n">
        <v>41100001</v>
      </c>
      <c r="F28" s="33" t="n">
        <v>0.16</v>
      </c>
      <c r="H28" s="32" t="n">
        <v>38900001</v>
      </c>
      <c r="I28" s="33" t="n">
        <v>0.15</v>
      </c>
    </row>
    <row r="29" customFormat="false" ht="15" hidden="false" customHeight="false" outlineLevel="0" collapsed="false">
      <c r="B29" s="32" t="n">
        <v>30050001</v>
      </c>
      <c r="C29" s="33" t="n">
        <v>0.13</v>
      </c>
      <c r="E29" s="32" t="n">
        <v>45800001</v>
      </c>
      <c r="F29" s="33" t="n">
        <v>0.17</v>
      </c>
      <c r="H29" s="32" t="n">
        <v>43000001</v>
      </c>
      <c r="I29" s="33" t="n">
        <v>0.16</v>
      </c>
    </row>
    <row r="30" customFormat="false" ht="15" hidden="false" customHeight="false" outlineLevel="0" collapsed="false">
      <c r="B30" s="32" t="n">
        <v>32400001</v>
      </c>
      <c r="C30" s="33" t="n">
        <v>0.14</v>
      </c>
      <c r="E30" s="32" t="n">
        <v>49500001</v>
      </c>
      <c r="F30" s="33" t="n">
        <v>0.18</v>
      </c>
      <c r="H30" s="32" t="n">
        <v>47400001</v>
      </c>
      <c r="I30" s="33" t="n">
        <v>0.17</v>
      </c>
    </row>
    <row r="31" customFormat="false" ht="15" hidden="false" customHeight="false" outlineLevel="0" collapsed="false">
      <c r="B31" s="32" t="n">
        <v>35400001</v>
      </c>
      <c r="C31" s="33" t="n">
        <v>0.15</v>
      </c>
      <c r="E31" s="32" t="n">
        <v>53800001</v>
      </c>
      <c r="F31" s="33" t="n">
        <v>0.19</v>
      </c>
      <c r="H31" s="32" t="n">
        <v>51200001</v>
      </c>
      <c r="I31" s="33" t="n">
        <v>0.18</v>
      </c>
    </row>
    <row r="32" customFormat="false" ht="15" hidden="false" customHeight="false" outlineLevel="0" collapsed="false">
      <c r="B32" s="32" t="n">
        <v>39100001</v>
      </c>
      <c r="C32" s="33" t="n">
        <v>0.16</v>
      </c>
      <c r="E32" s="32" t="n">
        <v>58500001</v>
      </c>
      <c r="F32" s="33" t="n">
        <v>0.2</v>
      </c>
      <c r="H32" s="32" t="n">
        <v>55800001</v>
      </c>
      <c r="I32" s="33" t="n">
        <v>0.19</v>
      </c>
    </row>
    <row r="33" customFormat="false" ht="15" hidden="false" customHeight="false" outlineLevel="0" collapsed="false">
      <c r="B33" s="32" t="n">
        <v>43850001</v>
      </c>
      <c r="C33" s="33" t="n">
        <v>0.17</v>
      </c>
      <c r="E33" s="32" t="n">
        <v>64000001</v>
      </c>
      <c r="F33" s="33" t="n">
        <v>0.21</v>
      </c>
      <c r="H33" s="32" t="n">
        <v>60400001</v>
      </c>
      <c r="I33" s="33" t="n">
        <v>0.2</v>
      </c>
    </row>
    <row r="34" customFormat="false" ht="15" hidden="false" customHeight="false" outlineLevel="0" collapsed="false">
      <c r="B34" s="32" t="n">
        <v>47800001</v>
      </c>
      <c r="C34" s="33" t="n">
        <v>0.18</v>
      </c>
      <c r="E34" s="32" t="n">
        <v>71000001</v>
      </c>
      <c r="F34" s="33" t="n">
        <v>0.22</v>
      </c>
      <c r="H34" s="32" t="n">
        <v>66700001</v>
      </c>
      <c r="I34" s="33" t="n">
        <v>0.21</v>
      </c>
    </row>
    <row r="35" customFormat="false" ht="15" hidden="false" customHeight="false" outlineLevel="0" collapsed="false">
      <c r="B35" s="32" t="n">
        <v>51400001</v>
      </c>
      <c r="C35" s="33" t="n">
        <v>0.19</v>
      </c>
      <c r="E35" s="32" t="n">
        <v>80000001</v>
      </c>
      <c r="F35" s="33" t="n">
        <v>0.23</v>
      </c>
      <c r="H35" s="32" t="n">
        <v>74500001</v>
      </c>
      <c r="I35" s="33" t="n">
        <v>0.22</v>
      </c>
    </row>
    <row r="36" customFormat="false" ht="15" hidden="false" customHeight="false" outlineLevel="0" collapsed="false">
      <c r="B36" s="32" t="n">
        <v>56300001</v>
      </c>
      <c r="C36" s="33" t="n">
        <v>0.2</v>
      </c>
      <c r="E36" s="32" t="n">
        <v>93000001</v>
      </c>
      <c r="F36" s="33" t="n">
        <v>0.24</v>
      </c>
      <c r="H36" s="32" t="n">
        <v>83200001</v>
      </c>
      <c r="I36" s="33" t="n">
        <v>0.23</v>
      </c>
    </row>
    <row r="37" customFormat="false" ht="15" hidden="false" customHeight="false" outlineLevel="0" collapsed="false">
      <c r="B37" s="32" t="n">
        <v>62200001</v>
      </c>
      <c r="C37" s="33" t="n">
        <v>0.21</v>
      </c>
      <c r="E37" s="32" t="n">
        <v>109000001</v>
      </c>
      <c r="F37" s="33" t="n">
        <v>0.25</v>
      </c>
      <c r="H37" s="32" t="n">
        <v>95600001</v>
      </c>
      <c r="I37" s="33" t="n">
        <v>0.24</v>
      </c>
    </row>
    <row r="38" customFormat="false" ht="15" hidden="false" customHeight="false" outlineLevel="0" collapsed="false">
      <c r="B38" s="32" t="n">
        <v>68600001</v>
      </c>
      <c r="C38" s="33" t="n">
        <v>0.22</v>
      </c>
      <c r="E38" s="32" t="n">
        <v>129000001</v>
      </c>
      <c r="F38" s="33" t="n">
        <v>0.26</v>
      </c>
      <c r="H38" s="32" t="n">
        <v>110000001</v>
      </c>
      <c r="I38" s="33" t="n">
        <v>0.25</v>
      </c>
    </row>
    <row r="39" customFormat="false" ht="15" hidden="false" customHeight="false" outlineLevel="0" collapsed="false">
      <c r="B39" s="32" t="n">
        <v>77500001</v>
      </c>
      <c r="C39" s="33" t="n">
        <v>0.23</v>
      </c>
      <c r="E39" s="32" t="n">
        <v>163000001</v>
      </c>
      <c r="F39" s="33" t="n">
        <v>0.27</v>
      </c>
      <c r="H39" s="32" t="n">
        <v>134000001</v>
      </c>
      <c r="I39" s="33" t="n">
        <v>0.26</v>
      </c>
    </row>
    <row r="40" customFormat="false" ht="15" hidden="false" customHeight="false" outlineLevel="0" collapsed="false">
      <c r="B40" s="32" t="n">
        <v>89000001</v>
      </c>
      <c r="C40" s="33" t="n">
        <v>0.24</v>
      </c>
      <c r="E40" s="32" t="n">
        <v>211000001</v>
      </c>
      <c r="F40" s="33" t="n">
        <v>0.28</v>
      </c>
      <c r="H40" s="32" t="n">
        <v>169000001</v>
      </c>
      <c r="I40" s="33" t="n">
        <v>0.27</v>
      </c>
    </row>
    <row r="41" customFormat="false" ht="15" hidden="false" customHeight="false" outlineLevel="0" collapsed="false">
      <c r="B41" s="32" t="n">
        <v>103000001</v>
      </c>
      <c r="C41" s="33" t="n">
        <v>0.25</v>
      </c>
      <c r="E41" s="32" t="n">
        <v>374000001</v>
      </c>
      <c r="F41" s="33" t="n">
        <v>0.29</v>
      </c>
      <c r="H41" s="32" t="n">
        <v>221000001</v>
      </c>
      <c r="I41" s="33" t="n">
        <v>0.28</v>
      </c>
    </row>
    <row r="42" customFormat="false" ht="15" hidden="false" customHeight="false" outlineLevel="0" collapsed="false">
      <c r="B42" s="32" t="n">
        <v>125000001</v>
      </c>
      <c r="C42" s="33" t="n">
        <v>0.26</v>
      </c>
      <c r="E42" s="32" t="n">
        <v>459000001</v>
      </c>
      <c r="F42" s="33" t="n">
        <v>0.3</v>
      </c>
      <c r="H42" s="32" t="n">
        <v>390000001</v>
      </c>
      <c r="I42" s="33" t="n">
        <v>0.29</v>
      </c>
    </row>
    <row r="43" customFormat="false" ht="15" hidden="false" customHeight="false" outlineLevel="0" collapsed="false">
      <c r="B43" s="32" t="n">
        <v>157000001</v>
      </c>
      <c r="C43" s="33" t="n">
        <v>0.27</v>
      </c>
      <c r="E43" s="32" t="n">
        <v>555000001</v>
      </c>
      <c r="F43" s="33" t="n">
        <v>0.31</v>
      </c>
      <c r="H43" s="32" t="n">
        <v>463000001</v>
      </c>
      <c r="I43" s="33" t="n">
        <v>0.3</v>
      </c>
    </row>
    <row r="44" customFormat="false" ht="15" hidden="false" customHeight="false" outlineLevel="0" collapsed="false">
      <c r="B44" s="32" t="n">
        <v>206000001</v>
      </c>
      <c r="C44" s="33" t="n">
        <v>0.28</v>
      </c>
      <c r="E44" s="32" t="n">
        <v>704000001</v>
      </c>
      <c r="F44" s="33" t="n">
        <v>0.32</v>
      </c>
      <c r="H44" s="32" t="n">
        <v>561000001</v>
      </c>
      <c r="I44" s="33" t="n">
        <v>0.31</v>
      </c>
    </row>
    <row r="45" customFormat="false" ht="15" hidden="false" customHeight="false" outlineLevel="0" collapsed="false">
      <c r="B45" s="32" t="n">
        <v>337000001</v>
      </c>
      <c r="C45" s="33" t="n">
        <v>0.29</v>
      </c>
      <c r="E45" s="32" t="n">
        <v>957000001</v>
      </c>
      <c r="F45" s="33" t="n">
        <v>0.33</v>
      </c>
      <c r="H45" s="32" t="n">
        <v>709000001</v>
      </c>
      <c r="I45" s="33" t="n">
        <v>0.32</v>
      </c>
    </row>
    <row r="46" customFormat="false" ht="15" hidden="false" customHeight="false" outlineLevel="0" collapsed="false">
      <c r="B46" s="32" t="n">
        <v>454000001</v>
      </c>
      <c r="C46" s="33" t="n">
        <v>0.3</v>
      </c>
      <c r="E46" s="32" t="n">
        <v>1405000001</v>
      </c>
      <c r="F46" s="33" t="n">
        <v>0.34</v>
      </c>
      <c r="H46" s="32" t="n">
        <v>965000001</v>
      </c>
      <c r="I46" s="33" t="n">
        <v>0.33</v>
      </c>
    </row>
    <row r="47" customFormat="false" ht="15" hidden="false" customHeight="false" outlineLevel="0" collapsed="false">
      <c r="B47" s="32" t="n">
        <v>550000001</v>
      </c>
      <c r="C47" s="33" t="n">
        <v>0.31</v>
      </c>
      <c r="H47" s="32" t="n">
        <v>1419000001</v>
      </c>
      <c r="I47" s="33" t="n">
        <v>0.34</v>
      </c>
    </row>
    <row r="48" customFormat="false" ht="15" hidden="false" customHeight="false" outlineLevel="0" collapsed="false">
      <c r="B48" s="32" t="n">
        <v>695000001</v>
      </c>
      <c r="C48" s="33" t="n">
        <v>0.32</v>
      </c>
    </row>
    <row r="49" customFormat="false" ht="15" hidden="false" customHeight="false" outlineLevel="0" collapsed="false">
      <c r="B49" s="32" t="n">
        <v>910000001</v>
      </c>
      <c r="C49" s="33" t="n">
        <v>0.33</v>
      </c>
    </row>
    <row r="50" customFormat="false" ht="15" hidden="false" customHeight="false" outlineLevel="0" collapsed="false">
      <c r="B50" s="32" t="n">
        <v>1400000001</v>
      </c>
      <c r="C50" s="33" t="n">
        <v>0.34</v>
      </c>
    </row>
  </sheetData>
  <sheetProtection sheet="true" formatColumns="false" formatRows="false"/>
  <mergeCells count="1"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7"/>
    <col collapsed="false" customWidth="true" hidden="false" outlineLevel="0" max="9" min="8" style="0" width="11"/>
    <col collapsed="false" customWidth="true" hidden="false" outlineLevel="0" max="10" min="10" style="0" width="8"/>
    <col collapsed="false" customWidth="true" hidden="false" outlineLevel="0" max="12" min="11" style="0" width="14"/>
    <col collapsed="false" customWidth="true" hidden="false" outlineLevel="0" max="13" min="13" style="0" width="20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4"/>
    <col collapsed="false" customWidth="true" hidden="false" outlineLevel="0" max="17" min="17" style="0" width="22"/>
    <col collapsed="false" customWidth="true" hidden="false" outlineLevel="0" max="18" min="18" style="0" width="8"/>
    <col collapsed="false" customWidth="true" hidden="false" outlineLevel="0" max="20" min="19" style="0" width="9"/>
    <col collapsed="false" customWidth="true" hidden="false" outlineLevel="0" max="21" min="21" style="0" width="8"/>
    <col collapsed="false" customWidth="true" hidden="false" outlineLevel="0" max="22" min="22" style="0" width="14"/>
  </cols>
  <sheetData>
    <row r="1" customFormat="false" ht="24" hidden="false" customHeight="true" outlineLevel="0" collapsed="false">
      <c r="A1" s="13" t="s">
        <v>160</v>
      </c>
    </row>
    <row r="2" customFormat="false" ht="15" hidden="false" customHeight="false" outlineLevel="0" collapsed="false">
      <c r="A2" s="14" t="s">
        <v>161</v>
      </c>
    </row>
    <row r="3" customFormat="false" ht="15" hidden="false" customHeight="false" outlineLevel="0" collapsed="false">
      <c r="A3" s="15" t="s">
        <v>44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5" customFormat="false" ht="43.5" hidden="false" customHeight="true" outlineLevel="0" collapsed="false">
      <c r="A5" s="25" t="s">
        <v>162</v>
      </c>
      <c r="B5" s="25" t="s">
        <v>163</v>
      </c>
      <c r="C5" s="25" t="s">
        <v>164</v>
      </c>
      <c r="D5" s="25" t="s">
        <v>165</v>
      </c>
      <c r="E5" s="25" t="s">
        <v>95</v>
      </c>
      <c r="F5" s="25" t="s">
        <v>166</v>
      </c>
      <c r="G5" s="25" t="s">
        <v>145</v>
      </c>
      <c r="H5" s="25" t="s">
        <v>167</v>
      </c>
      <c r="I5" s="25" t="s">
        <v>168</v>
      </c>
      <c r="J5" s="25" t="s">
        <v>169</v>
      </c>
      <c r="K5" s="25" t="s">
        <v>170</v>
      </c>
      <c r="L5" s="25" t="s">
        <v>171</v>
      </c>
      <c r="M5" s="25" t="s">
        <v>172</v>
      </c>
      <c r="N5" s="25" t="s">
        <v>97</v>
      </c>
      <c r="O5" s="25" t="s">
        <v>173</v>
      </c>
      <c r="P5" s="25" t="str">
        <f aca="false">PARAMETER!C17</f>
        <v>Tgl Akhir Kontrak</v>
      </c>
      <c r="Q5" s="25" t="str">
        <f aca="false">PARAMETER!C18</f>
        <v>Catatan HR</v>
      </c>
      <c r="R5" s="25" t="s">
        <v>174</v>
      </c>
      <c r="S5" s="25" t="s">
        <v>175</v>
      </c>
      <c r="T5" s="25" t="s">
        <v>79</v>
      </c>
      <c r="U5" s="25" t="s">
        <v>176</v>
      </c>
      <c r="V5" s="25" t="s">
        <v>177</v>
      </c>
    </row>
    <row r="6" customFormat="false" ht="15" hidden="false" customHeight="false" outlineLevel="0" collapsed="false">
      <c r="A6" s="31" t="s">
        <v>178</v>
      </c>
      <c r="B6" s="31" t="s">
        <v>179</v>
      </c>
      <c r="C6" s="34" t="s">
        <v>180</v>
      </c>
      <c r="D6" s="35" t="n">
        <v>33464</v>
      </c>
      <c r="E6" s="31" t="s">
        <v>134</v>
      </c>
      <c r="F6" s="31" t="s">
        <v>181</v>
      </c>
      <c r="G6" s="34" t="s">
        <v>153</v>
      </c>
      <c r="H6" s="31" t="s">
        <v>104</v>
      </c>
      <c r="I6" s="35" t="n">
        <v>44440</v>
      </c>
      <c r="J6" s="34" t="s">
        <v>85</v>
      </c>
      <c r="K6" s="36" t="n">
        <v>49500000</v>
      </c>
      <c r="L6" s="36" t="n">
        <v>5100000</v>
      </c>
      <c r="M6" s="31" t="s">
        <v>182</v>
      </c>
      <c r="N6" s="31" t="s">
        <v>113</v>
      </c>
      <c r="O6" s="35"/>
      <c r="P6" s="35"/>
      <c r="Q6" s="31"/>
      <c r="R6" s="37" t="n">
        <f aca="false">IF(OR($A6="",D6=""),"",INT((PARAMETER!$C$13-D6)/365.25))</f>
        <v>35</v>
      </c>
      <c r="S6" s="38" t="n">
        <f aca="false">IF(OR($A6="",I6=""),"",ROUND((IF(O6="",PARAMETER!$C$13,MIN(O6,PARAMETER!$C$13))-I6)/365.25,1))</f>
        <v>5.2</v>
      </c>
      <c r="T6" s="39" t="str">
        <f aca="false">IF($A6="","",IFERROR(INDEX(PARAMETER!$D$31:$D$38,MATCH(J6,PARAMETER!$B$31:$B$38,0)),"?"))</f>
        <v>A</v>
      </c>
      <c r="U6" s="37" t="n">
        <f aca="false">IF($A6="","",IF(H6="Resign",0,1))</f>
        <v>1</v>
      </c>
    </row>
    <row r="7" customFormat="false" ht="15" hidden="false" customHeight="false" outlineLevel="0" collapsed="false">
      <c r="A7" s="31" t="s">
        <v>183</v>
      </c>
      <c r="B7" s="31" t="s">
        <v>184</v>
      </c>
      <c r="C7" s="34" t="s">
        <v>180</v>
      </c>
      <c r="D7" s="35" t="n">
        <v>35009</v>
      </c>
      <c r="E7" s="31" t="s">
        <v>127</v>
      </c>
      <c r="F7" s="31" t="s">
        <v>185</v>
      </c>
      <c r="G7" s="34" t="s">
        <v>150</v>
      </c>
      <c r="H7" s="31" t="s">
        <v>104</v>
      </c>
      <c r="I7" s="35" t="n">
        <v>42809</v>
      </c>
      <c r="J7" s="34" t="s">
        <v>90</v>
      </c>
      <c r="K7" s="36" t="n">
        <v>12250000</v>
      </c>
      <c r="L7" s="36" t="n">
        <v>1400000</v>
      </c>
      <c r="M7" s="31" t="s">
        <v>182</v>
      </c>
      <c r="N7" s="31" t="s">
        <v>113</v>
      </c>
      <c r="O7" s="35"/>
      <c r="P7" s="35"/>
      <c r="Q7" s="31"/>
      <c r="R7" s="37" t="n">
        <f aca="false">IF(OR($A7="",D7=""),"",INT((PARAMETER!$C$13-D7)/365.25))</f>
        <v>30</v>
      </c>
      <c r="S7" s="38" t="n">
        <f aca="false">IF(OR($A7="",I7=""),"",ROUND((IF(O7="",PARAMETER!$C$13,MIN(O7,PARAMETER!$C$13))-I7)/365.25,1))</f>
        <v>9.6</v>
      </c>
      <c r="T7" s="39" t="str">
        <f aca="false">IF($A7="","",IFERROR(INDEX(PARAMETER!$D$31:$D$38,MATCH(J7,PARAMETER!$B$31:$B$38,0)),"?"))</f>
        <v>B</v>
      </c>
      <c r="U7" s="37" t="n">
        <f aca="false">IF($A7="","",IF(H7="Resign",0,1))</f>
        <v>1</v>
      </c>
    </row>
    <row r="8" customFormat="false" ht="15" hidden="false" customHeight="false" outlineLevel="0" collapsed="false">
      <c r="A8" s="31" t="s">
        <v>186</v>
      </c>
      <c r="B8" s="31" t="s">
        <v>187</v>
      </c>
      <c r="C8" s="34" t="s">
        <v>180</v>
      </c>
      <c r="D8" s="35" t="n">
        <v>34893</v>
      </c>
      <c r="E8" s="31" t="s">
        <v>134</v>
      </c>
      <c r="F8" s="31" t="s">
        <v>188</v>
      </c>
      <c r="G8" s="34" t="s">
        <v>151</v>
      </c>
      <c r="H8" s="31" t="s">
        <v>104</v>
      </c>
      <c r="I8" s="35" t="n">
        <v>45533</v>
      </c>
      <c r="J8" s="34" t="s">
        <v>83</v>
      </c>
      <c r="K8" s="36" t="n">
        <v>20350000</v>
      </c>
      <c r="L8" s="36" t="n">
        <v>3400000</v>
      </c>
      <c r="M8" s="31" t="s">
        <v>179</v>
      </c>
      <c r="N8" s="31" t="s">
        <v>113</v>
      </c>
      <c r="O8" s="35"/>
      <c r="P8" s="35"/>
      <c r="Q8" s="31"/>
      <c r="R8" s="37" t="n">
        <f aca="false">IF(OR($A8="",D8=""),"",INT((PARAMETER!$C$13-D8)/365.25))</f>
        <v>31</v>
      </c>
      <c r="S8" s="38" t="n">
        <f aca="false">IF(OR($A8="",I8=""),"",ROUND((IF(O8="",PARAMETER!$C$13,MIN(O8,PARAMETER!$C$13))-I8)/365.25,1))</f>
        <v>2.2</v>
      </c>
      <c r="T8" s="39" t="str">
        <f aca="false">IF($A8="","",IFERROR(INDEX(PARAMETER!$D$31:$D$38,MATCH(J8,PARAMETER!$B$31:$B$38,0)),"?"))</f>
        <v>A</v>
      </c>
      <c r="U8" s="37" t="n">
        <f aca="false">IF($A8="","",IF(H8="Resign",0,1))</f>
        <v>1</v>
      </c>
    </row>
    <row r="9" customFormat="false" ht="15" hidden="false" customHeight="false" outlineLevel="0" collapsed="false">
      <c r="A9" s="31" t="s">
        <v>189</v>
      </c>
      <c r="B9" s="31" t="s">
        <v>190</v>
      </c>
      <c r="C9" s="34" t="s">
        <v>191</v>
      </c>
      <c r="D9" s="35" t="n">
        <v>34388</v>
      </c>
      <c r="E9" s="31" t="s">
        <v>127</v>
      </c>
      <c r="F9" s="31" t="s">
        <v>192</v>
      </c>
      <c r="G9" s="34" t="s">
        <v>148</v>
      </c>
      <c r="H9" s="31" t="s">
        <v>112</v>
      </c>
      <c r="I9" s="35" t="n">
        <v>42976</v>
      </c>
      <c r="J9" s="34" t="s">
        <v>91</v>
      </c>
      <c r="K9" s="36" t="n">
        <v>5550000</v>
      </c>
      <c r="L9" s="36" t="n">
        <v>950000</v>
      </c>
      <c r="M9" s="31" t="s">
        <v>184</v>
      </c>
      <c r="N9" s="31" t="s">
        <v>105</v>
      </c>
      <c r="O9" s="35"/>
      <c r="P9" s="35" t="n">
        <v>46593</v>
      </c>
      <c r="Q9" s="31"/>
      <c r="R9" s="37" t="n">
        <f aca="false">IF(OR($A9="",D9=""),"",INT((PARAMETER!$C$13-D9)/365.25))</f>
        <v>32</v>
      </c>
      <c r="S9" s="38" t="n">
        <f aca="false">IF(OR($A9="",I9=""),"",ROUND((IF(O9="",PARAMETER!$C$13,MIN(O9,PARAMETER!$C$13))-I9)/365.25,1))</f>
        <v>9.2</v>
      </c>
      <c r="T9" s="39" t="str">
        <f aca="false">IF($A9="","",IFERROR(INDEX(PARAMETER!$D$31:$D$38,MATCH(J9,PARAMETER!$B$31:$B$38,0)),"?"))</f>
        <v>B</v>
      </c>
      <c r="U9" s="37" t="n">
        <f aca="false">IF($A9="","",IF(H9="Resign",0,1))</f>
        <v>1</v>
      </c>
    </row>
    <row r="10" customFormat="false" ht="15" hidden="false" customHeight="false" outlineLevel="0" collapsed="false">
      <c r="A10" s="31" t="s">
        <v>193</v>
      </c>
      <c r="B10" s="31" t="s">
        <v>194</v>
      </c>
      <c r="C10" s="34" t="s">
        <v>191</v>
      </c>
      <c r="D10" s="35" t="n">
        <v>37706</v>
      </c>
      <c r="E10" s="31" t="s">
        <v>134</v>
      </c>
      <c r="F10" s="31" t="s">
        <v>195</v>
      </c>
      <c r="G10" s="34" t="s">
        <v>149</v>
      </c>
      <c r="H10" s="31" t="s">
        <v>104</v>
      </c>
      <c r="I10" s="35" t="n">
        <v>45737</v>
      </c>
      <c r="J10" s="34" t="s">
        <v>90</v>
      </c>
      <c r="K10" s="36" t="n">
        <v>7100000</v>
      </c>
      <c r="L10" s="36" t="n">
        <v>650000</v>
      </c>
      <c r="M10" s="31" t="s">
        <v>179</v>
      </c>
      <c r="N10" s="31" t="s">
        <v>105</v>
      </c>
      <c r="O10" s="35"/>
      <c r="P10" s="35"/>
      <c r="Q10" s="31"/>
      <c r="R10" s="37" t="n">
        <f aca="false">IF(OR($A10="",D10=""),"",INT((PARAMETER!$C$13-D10)/365.25))</f>
        <v>23</v>
      </c>
      <c r="S10" s="38" t="n">
        <f aca="false">IF(OR($A10="",I10=""),"",ROUND((IF(O10="",PARAMETER!$C$13,MIN(O10,PARAMETER!$C$13))-I10)/365.25,1))</f>
        <v>1.6</v>
      </c>
      <c r="T10" s="39" t="str">
        <f aca="false">IF($A10="","",IFERROR(INDEX(PARAMETER!$D$31:$D$38,MATCH(J10,PARAMETER!$B$31:$B$38,0)),"?"))</f>
        <v>B</v>
      </c>
      <c r="U10" s="37" t="n">
        <f aca="false">IF($A10="","",IF(H10="Resign",0,1))</f>
        <v>1</v>
      </c>
    </row>
    <row r="11" customFormat="false" ht="15" hidden="false" customHeight="false" outlineLevel="0" collapsed="false">
      <c r="A11" s="31" t="s">
        <v>196</v>
      </c>
      <c r="B11" s="31" t="s">
        <v>197</v>
      </c>
      <c r="C11" s="34" t="s">
        <v>180</v>
      </c>
      <c r="D11" s="35" t="n">
        <v>34958</v>
      </c>
      <c r="E11" s="31" t="s">
        <v>127</v>
      </c>
      <c r="F11" s="31" t="s">
        <v>195</v>
      </c>
      <c r="G11" s="34" t="s">
        <v>149</v>
      </c>
      <c r="H11" s="31" t="s">
        <v>104</v>
      </c>
      <c r="I11" s="35" t="n">
        <v>45357</v>
      </c>
      <c r="J11" s="34" t="s">
        <v>89</v>
      </c>
      <c r="K11" s="36" t="n">
        <v>7150000</v>
      </c>
      <c r="L11" s="36" t="n">
        <v>1050000</v>
      </c>
      <c r="M11" s="31" t="s">
        <v>184</v>
      </c>
      <c r="N11" s="31" t="s">
        <v>105</v>
      </c>
      <c r="O11" s="35"/>
      <c r="P11" s="35"/>
      <c r="Q11" s="31"/>
      <c r="R11" s="37" t="n">
        <f aca="false">IF(OR($A11="",D11=""),"",INT((PARAMETER!$C$13-D11)/365.25))</f>
        <v>31</v>
      </c>
      <c r="S11" s="38" t="n">
        <f aca="false">IF(OR($A11="",I11=""),"",ROUND((IF(O11="",PARAMETER!$C$13,MIN(O11,PARAMETER!$C$13))-I11)/365.25,1))</f>
        <v>2.7</v>
      </c>
      <c r="T11" s="39" t="str">
        <f aca="false">IF($A11="","",IFERROR(INDEX(PARAMETER!$D$31:$D$38,MATCH(J11,PARAMETER!$B$31:$B$38,0)),"?"))</f>
        <v>A</v>
      </c>
      <c r="U11" s="37" t="n">
        <f aca="false">IF($A11="","",IF(H11="Resign",0,1))</f>
        <v>1</v>
      </c>
    </row>
    <row r="12" customFormat="false" ht="15" hidden="false" customHeight="false" outlineLevel="0" collapsed="false">
      <c r="A12" s="31" t="s">
        <v>198</v>
      </c>
      <c r="B12" s="31" t="s">
        <v>199</v>
      </c>
      <c r="C12" s="34" t="s">
        <v>191</v>
      </c>
      <c r="D12" s="35" t="n">
        <v>36960</v>
      </c>
      <c r="E12" s="31" t="s">
        <v>127</v>
      </c>
      <c r="F12" s="31" t="s">
        <v>185</v>
      </c>
      <c r="G12" s="34" t="s">
        <v>150</v>
      </c>
      <c r="H12" s="31" t="s">
        <v>104</v>
      </c>
      <c r="I12" s="35" t="n">
        <v>45926</v>
      </c>
      <c r="J12" s="34" t="s">
        <v>90</v>
      </c>
      <c r="K12" s="36" t="n">
        <v>10700000</v>
      </c>
      <c r="L12" s="36" t="n">
        <v>1400000</v>
      </c>
      <c r="M12" s="31" t="s">
        <v>182</v>
      </c>
      <c r="N12" s="31" t="s">
        <v>113</v>
      </c>
      <c r="O12" s="35"/>
      <c r="P12" s="35"/>
      <c r="Q12" s="31"/>
      <c r="R12" s="37" t="n">
        <f aca="false">IF(OR($A12="",D12=""),"",INT((PARAMETER!$C$13-D12)/365.25))</f>
        <v>25</v>
      </c>
      <c r="S12" s="38" t="n">
        <f aca="false">IF(OR($A12="",I12=""),"",ROUND((IF(O12="",PARAMETER!$C$13,MIN(O12,PARAMETER!$C$13))-I12)/365.25,1))</f>
        <v>1.1</v>
      </c>
      <c r="T12" s="39" t="str">
        <f aca="false">IF($A12="","",IFERROR(INDEX(PARAMETER!$D$31:$D$38,MATCH(J12,PARAMETER!$B$31:$B$38,0)),"?"))</f>
        <v>B</v>
      </c>
      <c r="U12" s="37" t="n">
        <f aca="false">IF($A12="","",IF(H12="Resign",0,1))</f>
        <v>1</v>
      </c>
    </row>
    <row r="13" customFormat="false" ht="15" hidden="false" customHeight="false" outlineLevel="0" collapsed="false">
      <c r="A13" s="31" t="s">
        <v>200</v>
      </c>
      <c r="B13" s="31" t="s">
        <v>201</v>
      </c>
      <c r="C13" s="34" t="s">
        <v>191</v>
      </c>
      <c r="D13" s="35" t="n">
        <v>36169</v>
      </c>
      <c r="E13" s="31" t="s">
        <v>134</v>
      </c>
      <c r="F13" s="31" t="s">
        <v>202</v>
      </c>
      <c r="G13" s="34" t="s">
        <v>152</v>
      </c>
      <c r="H13" s="31" t="s">
        <v>135</v>
      </c>
      <c r="I13" s="35" t="n">
        <v>45691</v>
      </c>
      <c r="J13" s="34" t="s">
        <v>83</v>
      </c>
      <c r="K13" s="36" t="n">
        <v>27750000</v>
      </c>
      <c r="L13" s="36" t="n">
        <v>4200000</v>
      </c>
      <c r="M13" s="31" t="s">
        <v>179</v>
      </c>
      <c r="N13" s="31" t="s">
        <v>113</v>
      </c>
      <c r="O13" s="35" t="n">
        <v>46211</v>
      </c>
      <c r="P13" s="35"/>
      <c r="Q13" s="31"/>
      <c r="R13" s="37" t="n">
        <f aca="false">IF(OR($A13="",D13=""),"",INT((PARAMETER!$C$13-D13)/365.25))</f>
        <v>27</v>
      </c>
      <c r="S13" s="38" t="n">
        <f aca="false">IF(OR($A13="",I13=""),"",ROUND((IF(O13="",PARAMETER!$C$13,MIN(O13,PARAMETER!$C$13))-I13)/365.25,1))</f>
        <v>1.4</v>
      </c>
      <c r="T13" s="39" t="str">
        <f aca="false">IF($A13="","",IFERROR(INDEX(PARAMETER!$D$31:$D$38,MATCH(J13,PARAMETER!$B$31:$B$38,0)),"?"))</f>
        <v>A</v>
      </c>
      <c r="U13" s="37" t="n">
        <f aca="false">IF($A13="","",IF(H13="Resign",0,1))</f>
        <v>0</v>
      </c>
    </row>
    <row r="14" customFormat="false" ht="15" hidden="false" customHeight="false" outlineLevel="0" collapsed="false">
      <c r="A14" s="31" t="s">
        <v>203</v>
      </c>
      <c r="B14" s="31" t="s">
        <v>204</v>
      </c>
      <c r="C14" s="34" t="s">
        <v>180</v>
      </c>
      <c r="D14" s="35" t="n">
        <v>30535</v>
      </c>
      <c r="E14" s="31" t="s">
        <v>134</v>
      </c>
      <c r="F14" s="31" t="s">
        <v>185</v>
      </c>
      <c r="G14" s="34" t="s">
        <v>150</v>
      </c>
      <c r="H14" s="31" t="s">
        <v>104</v>
      </c>
      <c r="I14" s="35" t="n">
        <v>42337</v>
      </c>
      <c r="J14" s="34" t="s">
        <v>86</v>
      </c>
      <c r="K14" s="36" t="n">
        <v>10100000</v>
      </c>
      <c r="L14" s="36" t="n">
        <v>850000</v>
      </c>
      <c r="M14" s="31" t="s">
        <v>179</v>
      </c>
      <c r="N14" s="31" t="s">
        <v>113</v>
      </c>
      <c r="O14" s="35"/>
      <c r="P14" s="35"/>
      <c r="Q14" s="31"/>
      <c r="R14" s="37" t="n">
        <f aca="false">IF(OR($A14="",D14=""),"",INT((PARAMETER!$C$13-D14)/365.25))</f>
        <v>43</v>
      </c>
      <c r="S14" s="38" t="n">
        <f aca="false">IF(OR($A14="",I14=""),"",ROUND((IF(O14="",PARAMETER!$C$13,MIN(O14,PARAMETER!$C$13))-I14)/365.25,1))</f>
        <v>10.9</v>
      </c>
      <c r="T14" s="39" t="str">
        <f aca="false">IF($A14="","",IFERROR(INDEX(PARAMETER!$D$31:$D$38,MATCH(J14,PARAMETER!$B$31:$B$38,0)),"?"))</f>
        <v>B</v>
      </c>
      <c r="U14" s="37" t="n">
        <f aca="false">IF($A14="","",IF(H14="Resign",0,1))</f>
        <v>1</v>
      </c>
    </row>
    <row r="15" customFormat="false" ht="15" hidden="false" customHeight="false" outlineLevel="0" collapsed="false">
      <c r="A15" s="31" t="s">
        <v>205</v>
      </c>
      <c r="B15" s="31" t="s">
        <v>206</v>
      </c>
      <c r="C15" s="34" t="s">
        <v>191</v>
      </c>
      <c r="D15" s="35" t="n">
        <v>33029</v>
      </c>
      <c r="E15" s="31" t="s">
        <v>103</v>
      </c>
      <c r="F15" s="31" t="s">
        <v>195</v>
      </c>
      <c r="G15" s="34" t="s">
        <v>149</v>
      </c>
      <c r="H15" s="31" t="s">
        <v>104</v>
      </c>
      <c r="I15" s="35" t="n">
        <v>45006</v>
      </c>
      <c r="J15" s="34" t="s">
        <v>86</v>
      </c>
      <c r="K15" s="36" t="n">
        <v>9250000</v>
      </c>
      <c r="L15" s="36" t="n">
        <v>1600000</v>
      </c>
      <c r="M15" s="31" t="s">
        <v>182</v>
      </c>
      <c r="N15" s="31" t="s">
        <v>105</v>
      </c>
      <c r="O15" s="35"/>
      <c r="P15" s="35"/>
      <c r="Q15" s="31"/>
      <c r="R15" s="37" t="n">
        <f aca="false">IF(OR($A15="",D15=""),"",INT((PARAMETER!$C$13-D15)/365.25))</f>
        <v>36</v>
      </c>
      <c r="S15" s="38" t="n">
        <f aca="false">IF(OR($A15="",I15=""),"",ROUND((IF(O15="",PARAMETER!$C$13,MIN(O15,PARAMETER!$C$13))-I15)/365.25,1))</f>
        <v>3.6</v>
      </c>
      <c r="T15" s="39" t="str">
        <f aca="false">IF($A15="","",IFERROR(INDEX(PARAMETER!$D$31:$D$38,MATCH(J15,PARAMETER!$B$31:$B$38,0)),"?"))</f>
        <v>B</v>
      </c>
      <c r="U15" s="37" t="n">
        <f aca="false">IF($A15="","",IF(H15="Resign",0,1))</f>
        <v>1</v>
      </c>
    </row>
    <row r="16" customFormat="false" ht="15" hidden="false" customHeight="false" outlineLevel="0" collapsed="false">
      <c r="A16" s="31" t="s">
        <v>207</v>
      </c>
      <c r="B16" s="31" t="s">
        <v>208</v>
      </c>
      <c r="C16" s="34" t="s">
        <v>191</v>
      </c>
      <c r="D16" s="35" t="n">
        <v>35062</v>
      </c>
      <c r="E16" s="31" t="s">
        <v>111</v>
      </c>
      <c r="F16" s="31" t="s">
        <v>195</v>
      </c>
      <c r="G16" s="34" t="s">
        <v>149</v>
      </c>
      <c r="H16" s="31" t="s">
        <v>104</v>
      </c>
      <c r="I16" s="35" t="n">
        <v>44002</v>
      </c>
      <c r="J16" s="34" t="s">
        <v>83</v>
      </c>
      <c r="K16" s="36" t="n">
        <v>8050000</v>
      </c>
      <c r="L16" s="36" t="n">
        <v>800000</v>
      </c>
      <c r="M16" s="31" t="s">
        <v>209</v>
      </c>
      <c r="N16" s="31" t="s">
        <v>113</v>
      </c>
      <c r="O16" s="35"/>
      <c r="P16" s="35"/>
      <c r="Q16" s="31"/>
      <c r="R16" s="37" t="n">
        <f aca="false">IF(OR($A16="",D16=""),"",INT((PARAMETER!$C$13-D16)/365.25))</f>
        <v>30</v>
      </c>
      <c r="S16" s="38" t="n">
        <f aca="false">IF(OR($A16="",I16=""),"",ROUND((IF(O16="",PARAMETER!$C$13,MIN(O16,PARAMETER!$C$13))-I16)/365.25,1))</f>
        <v>6.4</v>
      </c>
      <c r="T16" s="39" t="str">
        <f aca="false">IF($A16="","",IFERROR(INDEX(PARAMETER!$D$31:$D$38,MATCH(J16,PARAMETER!$B$31:$B$38,0)),"?"))</f>
        <v>A</v>
      </c>
      <c r="U16" s="37" t="n">
        <f aca="false">IF($A16="","",IF(H16="Resign",0,1))</f>
        <v>1</v>
      </c>
    </row>
    <row r="17" customFormat="false" ht="15" hidden="false" customHeight="false" outlineLevel="0" collapsed="false">
      <c r="A17" s="31" t="s">
        <v>210</v>
      </c>
      <c r="B17" s="31" t="s">
        <v>211</v>
      </c>
      <c r="C17" s="34" t="s">
        <v>191</v>
      </c>
      <c r="D17" s="35" t="n">
        <v>33281</v>
      </c>
      <c r="E17" s="31" t="s">
        <v>134</v>
      </c>
      <c r="F17" s="31" t="s">
        <v>185</v>
      </c>
      <c r="G17" s="34" t="s">
        <v>150</v>
      </c>
      <c r="H17" s="31" t="s">
        <v>104</v>
      </c>
      <c r="I17" s="35" t="n">
        <v>43884</v>
      </c>
      <c r="J17" s="34" t="s">
        <v>89</v>
      </c>
      <c r="K17" s="36" t="n">
        <v>10200000</v>
      </c>
      <c r="L17" s="36" t="n">
        <v>900000</v>
      </c>
      <c r="M17" s="31" t="s">
        <v>179</v>
      </c>
      <c r="N17" s="31" t="s">
        <v>105</v>
      </c>
      <c r="O17" s="35"/>
      <c r="P17" s="35"/>
      <c r="Q17" s="31"/>
      <c r="R17" s="37" t="n">
        <f aca="false">IF(OR($A17="",D17=""),"",INT((PARAMETER!$C$13-D17)/365.25))</f>
        <v>35</v>
      </c>
      <c r="S17" s="38" t="n">
        <f aca="false">IF(OR($A17="",I17=""),"",ROUND((IF(O17="",PARAMETER!$C$13,MIN(O17,PARAMETER!$C$13))-I17)/365.25,1))</f>
        <v>6.7</v>
      </c>
      <c r="T17" s="39" t="str">
        <f aca="false">IF($A17="","",IFERROR(INDEX(PARAMETER!$D$31:$D$38,MATCH(J17,PARAMETER!$B$31:$B$38,0)),"?"))</f>
        <v>A</v>
      </c>
      <c r="U17" s="37" t="n">
        <f aca="false">IF($A17="","",IF(H17="Resign",0,1))</f>
        <v>1</v>
      </c>
    </row>
    <row r="18" customFormat="false" ht="15" hidden="false" customHeight="false" outlineLevel="0" collapsed="false">
      <c r="A18" s="31" t="s">
        <v>212</v>
      </c>
      <c r="B18" s="31" t="s">
        <v>213</v>
      </c>
      <c r="C18" s="34" t="s">
        <v>191</v>
      </c>
      <c r="D18" s="35" t="n">
        <v>30266</v>
      </c>
      <c r="E18" s="31" t="s">
        <v>103</v>
      </c>
      <c r="F18" s="31" t="s">
        <v>195</v>
      </c>
      <c r="G18" s="34" t="s">
        <v>149</v>
      </c>
      <c r="H18" s="31" t="s">
        <v>112</v>
      </c>
      <c r="I18" s="35" t="n">
        <v>42463</v>
      </c>
      <c r="J18" s="34" t="s">
        <v>92</v>
      </c>
      <c r="K18" s="36" t="n">
        <v>9650000</v>
      </c>
      <c r="L18" s="36" t="n">
        <v>1550000</v>
      </c>
      <c r="M18" s="31" t="s">
        <v>182</v>
      </c>
      <c r="N18" s="31" t="s">
        <v>105</v>
      </c>
      <c r="O18" s="35"/>
      <c r="P18" s="35" t="n">
        <v>46577</v>
      </c>
      <c r="Q18" s="31"/>
      <c r="R18" s="37" t="n">
        <f aca="false">IF(OR($A18="",D18=""),"",INT((PARAMETER!$C$13-D18)/365.25))</f>
        <v>43</v>
      </c>
      <c r="S18" s="38" t="n">
        <f aca="false">IF(OR($A18="",I18=""),"",ROUND((IF(O18="",PARAMETER!$C$13,MIN(O18,PARAMETER!$C$13))-I18)/365.25,1))</f>
        <v>10.6</v>
      </c>
      <c r="T18" s="39" t="str">
        <f aca="false">IF($A18="","",IFERROR(INDEX(PARAMETER!$D$31:$D$38,MATCH(J18,PARAMETER!$B$31:$B$38,0)),"?"))</f>
        <v>C</v>
      </c>
      <c r="U18" s="37" t="n">
        <f aca="false">IF($A18="","",IF(H18="Resign",0,1))</f>
        <v>1</v>
      </c>
    </row>
    <row r="19" customFormat="false" ht="15" hidden="false" customHeight="false" outlineLevel="0" collapsed="false">
      <c r="A19" s="31" t="s">
        <v>214</v>
      </c>
      <c r="B19" s="31" t="s">
        <v>215</v>
      </c>
      <c r="C19" s="34" t="s">
        <v>180</v>
      </c>
      <c r="D19" s="35" t="n">
        <v>35764</v>
      </c>
      <c r="E19" s="31" t="s">
        <v>111</v>
      </c>
      <c r="F19" s="31" t="s">
        <v>195</v>
      </c>
      <c r="G19" s="34" t="s">
        <v>149</v>
      </c>
      <c r="H19" s="31" t="s">
        <v>104</v>
      </c>
      <c r="I19" s="35" t="n">
        <v>44795</v>
      </c>
      <c r="J19" s="34" t="s">
        <v>90</v>
      </c>
      <c r="K19" s="36" t="n">
        <v>8900000</v>
      </c>
      <c r="L19" s="36" t="n">
        <v>900000</v>
      </c>
      <c r="M19" s="31" t="s">
        <v>209</v>
      </c>
      <c r="N19" s="31" t="s">
        <v>113</v>
      </c>
      <c r="O19" s="35"/>
      <c r="P19" s="35"/>
      <c r="Q19" s="31"/>
      <c r="R19" s="37" t="n">
        <f aca="false">IF(OR($A19="",D19=""),"",INT((PARAMETER!$C$13-D19)/365.25))</f>
        <v>28</v>
      </c>
      <c r="S19" s="38" t="n">
        <f aca="false">IF(OR($A19="",I19=""),"",ROUND((IF(O19="",PARAMETER!$C$13,MIN(O19,PARAMETER!$C$13))-I19)/365.25,1))</f>
        <v>4.2</v>
      </c>
      <c r="T19" s="39" t="str">
        <f aca="false">IF($A19="","",IFERROR(INDEX(PARAMETER!$D$31:$D$38,MATCH(J19,PARAMETER!$B$31:$B$38,0)),"?"))</f>
        <v>B</v>
      </c>
      <c r="U19" s="37" t="n">
        <f aca="false">IF($A19="","",IF(H19="Resign",0,1))</f>
        <v>1</v>
      </c>
    </row>
    <row r="20" customFormat="false" ht="15" hidden="false" customHeight="false" outlineLevel="0" collapsed="false">
      <c r="A20" s="31" t="s">
        <v>216</v>
      </c>
      <c r="B20" s="31" t="s">
        <v>217</v>
      </c>
      <c r="C20" s="34" t="s">
        <v>191</v>
      </c>
      <c r="D20" s="35" t="n">
        <v>33599</v>
      </c>
      <c r="E20" s="31" t="s">
        <v>103</v>
      </c>
      <c r="F20" s="31" t="s">
        <v>195</v>
      </c>
      <c r="G20" s="34" t="s">
        <v>149</v>
      </c>
      <c r="H20" s="31" t="s">
        <v>104</v>
      </c>
      <c r="I20" s="35" t="n">
        <v>44940</v>
      </c>
      <c r="J20" s="34" t="s">
        <v>83</v>
      </c>
      <c r="K20" s="36" t="n">
        <v>7650000</v>
      </c>
      <c r="L20" s="36" t="n">
        <v>1300000</v>
      </c>
      <c r="M20" s="31" t="s">
        <v>182</v>
      </c>
      <c r="N20" s="31" t="s">
        <v>105</v>
      </c>
      <c r="O20" s="35"/>
      <c r="P20" s="35"/>
      <c r="Q20" s="31"/>
      <c r="R20" s="37" t="n">
        <f aca="false">IF(OR($A20="",D20=""),"",INT((PARAMETER!$C$13-D20)/365.25))</f>
        <v>34</v>
      </c>
      <c r="S20" s="38" t="n">
        <f aca="false">IF(OR($A20="",I20=""),"",ROUND((IF(O20="",PARAMETER!$C$13,MIN(O20,PARAMETER!$C$13))-I20)/365.25,1))</f>
        <v>3.8</v>
      </c>
      <c r="T20" s="39" t="str">
        <f aca="false">IF($A20="","",IFERROR(INDEX(PARAMETER!$D$31:$D$38,MATCH(J20,PARAMETER!$B$31:$B$38,0)),"?"))</f>
        <v>A</v>
      </c>
      <c r="U20" s="37" t="n">
        <f aca="false">IF($A20="","",IF(H20="Resign",0,1))</f>
        <v>1</v>
      </c>
    </row>
    <row r="21" customFormat="false" ht="15" hidden="false" customHeight="false" outlineLevel="0" collapsed="false">
      <c r="A21" s="31" t="s">
        <v>218</v>
      </c>
      <c r="B21" s="31" t="s">
        <v>219</v>
      </c>
      <c r="C21" s="34" t="s">
        <v>191</v>
      </c>
      <c r="D21" s="35" t="n">
        <v>32700</v>
      </c>
      <c r="E21" s="31" t="s">
        <v>111</v>
      </c>
      <c r="F21" s="31" t="s">
        <v>195</v>
      </c>
      <c r="G21" s="34" t="s">
        <v>149</v>
      </c>
      <c r="H21" s="31" t="s">
        <v>104</v>
      </c>
      <c r="I21" s="35" t="n">
        <v>42276</v>
      </c>
      <c r="J21" s="34" t="s">
        <v>92</v>
      </c>
      <c r="K21" s="36" t="n">
        <v>8600000</v>
      </c>
      <c r="L21" s="36" t="n">
        <v>1300000</v>
      </c>
      <c r="M21" s="31" t="s">
        <v>209</v>
      </c>
      <c r="N21" s="31" t="s">
        <v>113</v>
      </c>
      <c r="O21" s="35"/>
      <c r="P21" s="35"/>
      <c r="Q21" s="31"/>
      <c r="R21" s="37" t="n">
        <f aca="false">IF(OR($A21="",D21=""),"",INT((PARAMETER!$C$13-D21)/365.25))</f>
        <v>37</v>
      </c>
      <c r="S21" s="38" t="n">
        <f aca="false">IF(OR($A21="",I21=""),"",ROUND((IF(O21="",PARAMETER!$C$13,MIN(O21,PARAMETER!$C$13))-I21)/365.25,1))</f>
        <v>11.1</v>
      </c>
      <c r="T21" s="39" t="str">
        <f aca="false">IF($A21="","",IFERROR(INDEX(PARAMETER!$D$31:$D$38,MATCH(J21,PARAMETER!$B$31:$B$38,0)),"?"))</f>
        <v>C</v>
      </c>
      <c r="U21" s="37" t="n">
        <f aca="false">IF($A21="","",IF(H21="Resign",0,1))</f>
        <v>1</v>
      </c>
    </row>
    <row r="22" customFormat="false" ht="15" hidden="false" customHeight="false" outlineLevel="0" collapsed="false">
      <c r="A22" s="31" t="s">
        <v>220</v>
      </c>
      <c r="B22" s="31" t="s">
        <v>209</v>
      </c>
      <c r="C22" s="34" t="s">
        <v>180</v>
      </c>
      <c r="D22" s="35" t="n">
        <v>34220</v>
      </c>
      <c r="E22" s="31" t="s">
        <v>111</v>
      </c>
      <c r="F22" s="31" t="s">
        <v>185</v>
      </c>
      <c r="G22" s="34" t="s">
        <v>150</v>
      </c>
      <c r="H22" s="31" t="s">
        <v>104</v>
      </c>
      <c r="I22" s="35" t="n">
        <v>43640</v>
      </c>
      <c r="J22" s="34" t="s">
        <v>91</v>
      </c>
      <c r="K22" s="36" t="n">
        <v>11550000</v>
      </c>
      <c r="L22" s="36" t="n">
        <v>1150000</v>
      </c>
      <c r="M22" s="31" t="s">
        <v>182</v>
      </c>
      <c r="N22" s="31" t="s">
        <v>113</v>
      </c>
      <c r="O22" s="35"/>
      <c r="P22" s="35"/>
      <c r="Q22" s="31"/>
      <c r="R22" s="37" t="n">
        <f aca="false">IF(OR($A22="",D22=""),"",INT((PARAMETER!$C$13-D22)/365.25))</f>
        <v>33</v>
      </c>
      <c r="S22" s="38" t="n">
        <f aca="false">IF(OR($A22="",I22=""),"",ROUND((IF(O22="",PARAMETER!$C$13,MIN(O22,PARAMETER!$C$13))-I22)/365.25,1))</f>
        <v>7.4</v>
      </c>
      <c r="T22" s="39" t="str">
        <f aca="false">IF($A22="","",IFERROR(INDEX(PARAMETER!$D$31:$D$38,MATCH(J22,PARAMETER!$B$31:$B$38,0)),"?"))</f>
        <v>B</v>
      </c>
      <c r="U22" s="37" t="n">
        <f aca="false">IF($A22="","",IF(H22="Resign",0,1))</f>
        <v>1</v>
      </c>
    </row>
    <row r="23" customFormat="false" ht="15" hidden="false" customHeight="false" outlineLevel="0" collapsed="false">
      <c r="A23" s="31" t="s">
        <v>221</v>
      </c>
      <c r="B23" s="31" t="s">
        <v>222</v>
      </c>
      <c r="C23" s="34" t="s">
        <v>180</v>
      </c>
      <c r="D23" s="35" t="n">
        <v>35795</v>
      </c>
      <c r="E23" s="31" t="s">
        <v>134</v>
      </c>
      <c r="F23" s="31" t="s">
        <v>202</v>
      </c>
      <c r="G23" s="34" t="s">
        <v>152</v>
      </c>
      <c r="H23" s="31" t="s">
        <v>104</v>
      </c>
      <c r="I23" s="35" t="n">
        <v>44632</v>
      </c>
      <c r="J23" s="34" t="s">
        <v>89</v>
      </c>
      <c r="K23" s="36" t="n">
        <v>24600000</v>
      </c>
      <c r="L23" s="36" t="n">
        <v>2050000</v>
      </c>
      <c r="M23" s="31" t="s">
        <v>179</v>
      </c>
      <c r="N23" s="31" t="s">
        <v>113</v>
      </c>
      <c r="O23" s="35"/>
      <c r="P23" s="35"/>
      <c r="Q23" s="31"/>
      <c r="R23" s="37" t="n">
        <f aca="false">IF(OR($A23="",D23=""),"",INT((PARAMETER!$C$13-D23)/365.25))</f>
        <v>28</v>
      </c>
      <c r="S23" s="38" t="n">
        <f aca="false">IF(OR($A23="",I23=""),"",ROUND((IF(O23="",PARAMETER!$C$13,MIN(O23,PARAMETER!$C$13))-I23)/365.25,1))</f>
        <v>4.6</v>
      </c>
      <c r="T23" s="39" t="str">
        <f aca="false">IF($A23="","",IFERROR(INDEX(PARAMETER!$D$31:$D$38,MATCH(J23,PARAMETER!$B$31:$B$38,0)),"?"))</f>
        <v>A</v>
      </c>
      <c r="U23" s="37" t="n">
        <f aca="false">IF($A23="","",IF(H23="Resign",0,1))</f>
        <v>1</v>
      </c>
    </row>
    <row r="24" customFormat="false" ht="15" hidden="false" customHeight="false" outlineLevel="0" collapsed="false">
      <c r="A24" s="31" t="s">
        <v>223</v>
      </c>
      <c r="B24" s="31" t="s">
        <v>224</v>
      </c>
      <c r="C24" s="34" t="s">
        <v>180</v>
      </c>
      <c r="D24" s="35" t="n">
        <v>34578</v>
      </c>
      <c r="E24" s="31" t="s">
        <v>134</v>
      </c>
      <c r="F24" s="31" t="s">
        <v>185</v>
      </c>
      <c r="G24" s="34" t="s">
        <v>150</v>
      </c>
      <c r="H24" s="31" t="s">
        <v>104</v>
      </c>
      <c r="I24" s="35" t="n">
        <v>43307</v>
      </c>
      <c r="J24" s="34" t="s">
        <v>90</v>
      </c>
      <c r="K24" s="36" t="n">
        <v>11100000</v>
      </c>
      <c r="L24" s="36" t="n">
        <v>1700000</v>
      </c>
      <c r="M24" s="31" t="s">
        <v>179</v>
      </c>
      <c r="N24" s="31" t="s">
        <v>113</v>
      </c>
      <c r="O24" s="35"/>
      <c r="P24" s="35"/>
      <c r="Q24" s="31"/>
      <c r="R24" s="37" t="n">
        <f aca="false">IF(OR($A24="",D24=""),"",INT((PARAMETER!$C$13-D24)/365.25))</f>
        <v>32</v>
      </c>
      <c r="S24" s="38" t="n">
        <f aca="false">IF(OR($A24="",I24=""),"",ROUND((IF(O24="",PARAMETER!$C$13,MIN(O24,PARAMETER!$C$13))-I24)/365.25,1))</f>
        <v>8.3</v>
      </c>
      <c r="T24" s="39" t="str">
        <f aca="false">IF($A24="","",IFERROR(INDEX(PARAMETER!$D$31:$D$38,MATCH(J24,PARAMETER!$B$31:$B$38,0)),"?"))</f>
        <v>B</v>
      </c>
      <c r="U24" s="37" t="n">
        <f aca="false">IF($A24="","",IF(H24="Resign",0,1))</f>
        <v>1</v>
      </c>
    </row>
    <row r="25" customFormat="false" ht="15" hidden="false" customHeight="false" outlineLevel="0" collapsed="false">
      <c r="A25" s="31" t="s">
        <v>225</v>
      </c>
      <c r="B25" s="31" t="s">
        <v>226</v>
      </c>
      <c r="C25" s="34" t="s">
        <v>191</v>
      </c>
      <c r="D25" s="35" t="n">
        <v>34723</v>
      </c>
      <c r="E25" s="31" t="s">
        <v>134</v>
      </c>
      <c r="F25" s="31" t="s">
        <v>195</v>
      </c>
      <c r="G25" s="34" t="s">
        <v>149</v>
      </c>
      <c r="H25" s="31" t="s">
        <v>112</v>
      </c>
      <c r="I25" s="35" t="n">
        <v>46044</v>
      </c>
      <c r="J25" s="34" t="s">
        <v>85</v>
      </c>
      <c r="K25" s="36" t="n">
        <v>8750000</v>
      </c>
      <c r="L25" s="36" t="n">
        <v>900000</v>
      </c>
      <c r="M25" s="31" t="s">
        <v>179</v>
      </c>
      <c r="N25" s="31" t="s">
        <v>105</v>
      </c>
      <c r="O25" s="35"/>
      <c r="P25" s="35" t="n">
        <v>46604</v>
      </c>
      <c r="Q25" s="31"/>
      <c r="R25" s="37" t="n">
        <f aca="false">IF(OR($A25="",D25=""),"",INT((PARAMETER!$C$13-D25)/365.25))</f>
        <v>31</v>
      </c>
      <c r="S25" s="38" t="n">
        <f aca="false">IF(OR($A25="",I25=""),"",ROUND((IF(O25="",PARAMETER!$C$13,MIN(O25,PARAMETER!$C$13))-I25)/365.25,1))</f>
        <v>0.8</v>
      </c>
      <c r="T25" s="39" t="str">
        <f aca="false">IF($A25="","",IFERROR(INDEX(PARAMETER!$D$31:$D$38,MATCH(J25,PARAMETER!$B$31:$B$38,0)),"?"))</f>
        <v>A</v>
      </c>
      <c r="U25" s="37" t="n">
        <f aca="false">IF($A25="","",IF(H25="Resign",0,1))</f>
        <v>1</v>
      </c>
    </row>
    <row r="26" customFormat="false" ht="15" hidden="false" customHeight="false" outlineLevel="0" collapsed="false">
      <c r="A26" s="31"/>
      <c r="B26" s="31"/>
      <c r="C26" s="34"/>
      <c r="D26" s="35"/>
      <c r="E26" s="31"/>
      <c r="F26" s="31"/>
      <c r="G26" s="34"/>
      <c r="H26" s="31"/>
      <c r="I26" s="35"/>
      <c r="J26" s="34"/>
      <c r="K26" s="36"/>
      <c r="L26" s="36"/>
      <c r="M26" s="31"/>
      <c r="N26" s="31"/>
      <c r="O26" s="35"/>
      <c r="P26" s="35"/>
      <c r="Q26" s="31"/>
      <c r="R26" s="37" t="str">
        <f aca="false">IF(OR($A26="",D26=""),"",INT((PARAMETER!$C$13-D26)/365.25))</f>
        <v/>
      </c>
      <c r="S26" s="38" t="str">
        <f aca="false">IF(OR($A26="",I26=""),"",ROUND((IF(O26="",PARAMETER!$C$13,MIN(O26,PARAMETER!$C$13))-I26)/365.25,1))</f>
        <v/>
      </c>
      <c r="T26" s="39" t="str">
        <f aca="false">IF($A26="","",IFERROR(INDEX(PARAMETER!$D$31:$D$38,MATCH(J26,PARAMETER!$B$31:$B$38,0)),"?"))</f>
        <v/>
      </c>
      <c r="U26" s="37" t="str">
        <f aca="false">IF($A26="","",IF(H26="Resign",0,1))</f>
        <v/>
      </c>
    </row>
    <row r="27" customFormat="false" ht="15" hidden="false" customHeight="false" outlineLevel="0" collapsed="false">
      <c r="A27" s="31"/>
      <c r="B27" s="31"/>
      <c r="C27" s="34"/>
      <c r="D27" s="35"/>
      <c r="E27" s="31"/>
      <c r="F27" s="31"/>
      <c r="G27" s="34"/>
      <c r="H27" s="31"/>
      <c r="I27" s="35"/>
      <c r="J27" s="34"/>
      <c r="K27" s="36"/>
      <c r="L27" s="36"/>
      <c r="M27" s="31"/>
      <c r="N27" s="31"/>
      <c r="O27" s="35"/>
      <c r="P27" s="35"/>
      <c r="Q27" s="31"/>
      <c r="R27" s="37" t="str">
        <f aca="false">IF(OR($A27="",D27=""),"",INT((PARAMETER!$C$13-D27)/365.25))</f>
        <v/>
      </c>
      <c r="S27" s="38" t="str">
        <f aca="false">IF(OR($A27="",I27=""),"",ROUND((IF(O27="",PARAMETER!$C$13,MIN(O27,PARAMETER!$C$13))-I27)/365.25,1))</f>
        <v/>
      </c>
      <c r="T27" s="39" t="str">
        <f aca="false">IF($A27="","",IFERROR(INDEX(PARAMETER!$D$31:$D$38,MATCH(J27,PARAMETER!$B$31:$B$38,0)),"?"))</f>
        <v/>
      </c>
      <c r="U27" s="37" t="str">
        <f aca="false">IF($A27="","",IF(H27="Resign",0,1))</f>
        <v/>
      </c>
    </row>
    <row r="28" customFormat="false" ht="15" hidden="false" customHeight="false" outlineLevel="0" collapsed="false">
      <c r="A28" s="31"/>
      <c r="B28" s="31"/>
      <c r="C28" s="34"/>
      <c r="D28" s="35"/>
      <c r="E28" s="31"/>
      <c r="F28" s="31"/>
      <c r="G28" s="34"/>
      <c r="H28" s="31"/>
      <c r="I28" s="35"/>
      <c r="J28" s="34"/>
      <c r="K28" s="36"/>
      <c r="L28" s="36"/>
      <c r="M28" s="31"/>
      <c r="N28" s="31"/>
      <c r="O28" s="35"/>
      <c r="P28" s="35"/>
      <c r="Q28" s="31"/>
      <c r="R28" s="37" t="str">
        <f aca="false">IF(OR($A28="",D28=""),"",INT((PARAMETER!$C$13-D28)/365.25))</f>
        <v/>
      </c>
      <c r="S28" s="38" t="str">
        <f aca="false">IF(OR($A28="",I28=""),"",ROUND((IF(O28="",PARAMETER!$C$13,MIN(O28,PARAMETER!$C$13))-I28)/365.25,1))</f>
        <v/>
      </c>
      <c r="T28" s="39" t="str">
        <f aca="false">IF($A28="","",IFERROR(INDEX(PARAMETER!$D$31:$D$38,MATCH(J28,PARAMETER!$B$31:$B$38,0)),"?"))</f>
        <v/>
      </c>
      <c r="U28" s="37" t="str">
        <f aca="false">IF($A28="","",IF(H28="Resign",0,1))</f>
        <v/>
      </c>
    </row>
    <row r="29" customFormat="false" ht="15" hidden="false" customHeight="false" outlineLevel="0" collapsed="false">
      <c r="A29" s="31"/>
      <c r="B29" s="31"/>
      <c r="C29" s="34"/>
      <c r="D29" s="35"/>
      <c r="E29" s="31"/>
      <c r="F29" s="31"/>
      <c r="G29" s="34"/>
      <c r="H29" s="31"/>
      <c r="I29" s="35"/>
      <c r="J29" s="34"/>
      <c r="K29" s="36"/>
      <c r="L29" s="36"/>
      <c r="M29" s="31"/>
      <c r="N29" s="31"/>
      <c r="O29" s="35"/>
      <c r="P29" s="35"/>
      <c r="Q29" s="31"/>
      <c r="R29" s="37" t="str">
        <f aca="false">IF(OR($A29="",D29=""),"",INT((PARAMETER!$C$13-D29)/365.25))</f>
        <v/>
      </c>
      <c r="S29" s="38" t="str">
        <f aca="false">IF(OR($A29="",I29=""),"",ROUND((IF(O29="",PARAMETER!$C$13,MIN(O29,PARAMETER!$C$13))-I29)/365.25,1))</f>
        <v/>
      </c>
      <c r="T29" s="39" t="str">
        <f aca="false">IF($A29="","",IFERROR(INDEX(PARAMETER!$D$31:$D$38,MATCH(J29,PARAMETER!$B$31:$B$38,0)),"?"))</f>
        <v/>
      </c>
      <c r="U29" s="37" t="str">
        <f aca="false">IF($A29="","",IF(H29="Resign",0,1))</f>
        <v/>
      </c>
    </row>
    <row r="30" customFormat="false" ht="15" hidden="false" customHeight="false" outlineLevel="0" collapsed="false">
      <c r="A30" s="31"/>
      <c r="B30" s="31"/>
      <c r="C30" s="34"/>
      <c r="D30" s="35"/>
      <c r="E30" s="31"/>
      <c r="F30" s="31"/>
      <c r="G30" s="34"/>
      <c r="H30" s="31"/>
      <c r="I30" s="35"/>
      <c r="J30" s="34"/>
      <c r="K30" s="36"/>
      <c r="L30" s="36"/>
      <c r="M30" s="31"/>
      <c r="N30" s="31"/>
      <c r="O30" s="35"/>
      <c r="P30" s="35"/>
      <c r="Q30" s="31"/>
      <c r="R30" s="37" t="str">
        <f aca="false">IF(OR($A30="",D30=""),"",INT((PARAMETER!$C$13-D30)/365.25))</f>
        <v/>
      </c>
      <c r="S30" s="38" t="str">
        <f aca="false">IF(OR($A30="",I30=""),"",ROUND((IF(O30="",PARAMETER!$C$13,MIN(O30,PARAMETER!$C$13))-I30)/365.25,1))</f>
        <v/>
      </c>
      <c r="T30" s="39" t="str">
        <f aca="false">IF($A30="","",IFERROR(INDEX(PARAMETER!$D$31:$D$38,MATCH(J30,PARAMETER!$B$31:$B$38,0)),"?"))</f>
        <v/>
      </c>
      <c r="U30" s="37" t="str">
        <f aca="false">IF($A30="","",IF(H30="Resign",0,1))</f>
        <v/>
      </c>
    </row>
    <row r="31" customFormat="false" ht="15" hidden="false" customHeight="false" outlineLevel="0" collapsed="false">
      <c r="A31" s="31"/>
      <c r="B31" s="31"/>
      <c r="C31" s="34"/>
      <c r="D31" s="35"/>
      <c r="E31" s="31"/>
      <c r="F31" s="31"/>
      <c r="G31" s="34"/>
      <c r="H31" s="31"/>
      <c r="I31" s="35"/>
      <c r="J31" s="34"/>
      <c r="K31" s="36"/>
      <c r="L31" s="36"/>
      <c r="M31" s="31"/>
      <c r="N31" s="31"/>
      <c r="O31" s="35"/>
      <c r="P31" s="35"/>
      <c r="Q31" s="31"/>
      <c r="R31" s="37" t="str">
        <f aca="false">IF(OR($A31="",D31=""),"",INT((PARAMETER!$C$13-D31)/365.25))</f>
        <v/>
      </c>
      <c r="S31" s="38" t="str">
        <f aca="false">IF(OR($A31="",I31=""),"",ROUND((IF(O31="",PARAMETER!$C$13,MIN(O31,PARAMETER!$C$13))-I31)/365.25,1))</f>
        <v/>
      </c>
      <c r="T31" s="39" t="str">
        <f aca="false">IF($A31="","",IFERROR(INDEX(PARAMETER!$D$31:$D$38,MATCH(J31,PARAMETER!$B$31:$B$38,0)),"?"))</f>
        <v/>
      </c>
      <c r="U31" s="37" t="str">
        <f aca="false">IF($A31="","",IF(H31="Resign",0,1))</f>
        <v/>
      </c>
    </row>
    <row r="32" customFormat="false" ht="15" hidden="false" customHeight="false" outlineLevel="0" collapsed="false">
      <c r="A32" s="31"/>
      <c r="B32" s="31"/>
      <c r="C32" s="34"/>
      <c r="D32" s="35"/>
      <c r="E32" s="31"/>
      <c r="F32" s="31"/>
      <c r="G32" s="34"/>
      <c r="H32" s="31"/>
      <c r="I32" s="35"/>
      <c r="J32" s="34"/>
      <c r="K32" s="36"/>
      <c r="L32" s="36"/>
      <c r="M32" s="31"/>
      <c r="N32" s="31"/>
      <c r="O32" s="35"/>
      <c r="P32" s="35"/>
      <c r="Q32" s="31"/>
      <c r="R32" s="37" t="str">
        <f aca="false">IF(OR($A32="",D32=""),"",INT((PARAMETER!$C$13-D32)/365.25))</f>
        <v/>
      </c>
      <c r="S32" s="38" t="str">
        <f aca="false">IF(OR($A32="",I32=""),"",ROUND((IF(O32="",PARAMETER!$C$13,MIN(O32,PARAMETER!$C$13))-I32)/365.25,1))</f>
        <v/>
      </c>
      <c r="T32" s="39" t="str">
        <f aca="false">IF($A32="","",IFERROR(INDEX(PARAMETER!$D$31:$D$38,MATCH(J32,PARAMETER!$B$31:$B$38,0)),"?"))</f>
        <v/>
      </c>
      <c r="U32" s="37" t="str">
        <f aca="false">IF($A32="","",IF(H32="Resign",0,1))</f>
        <v/>
      </c>
    </row>
    <row r="33" customFormat="false" ht="15" hidden="false" customHeight="false" outlineLevel="0" collapsed="false">
      <c r="A33" s="31"/>
      <c r="B33" s="31"/>
      <c r="C33" s="34"/>
      <c r="D33" s="35"/>
      <c r="E33" s="31"/>
      <c r="F33" s="31"/>
      <c r="G33" s="34"/>
      <c r="H33" s="31"/>
      <c r="I33" s="35"/>
      <c r="J33" s="34"/>
      <c r="K33" s="36"/>
      <c r="L33" s="36"/>
      <c r="M33" s="31"/>
      <c r="N33" s="31"/>
      <c r="O33" s="35"/>
      <c r="P33" s="35"/>
      <c r="Q33" s="31"/>
      <c r="R33" s="37" t="str">
        <f aca="false">IF(OR($A33="",D33=""),"",INT((PARAMETER!$C$13-D33)/365.25))</f>
        <v/>
      </c>
      <c r="S33" s="38" t="str">
        <f aca="false">IF(OR($A33="",I33=""),"",ROUND((IF(O33="",PARAMETER!$C$13,MIN(O33,PARAMETER!$C$13))-I33)/365.25,1))</f>
        <v/>
      </c>
      <c r="T33" s="39" t="str">
        <f aca="false">IF($A33="","",IFERROR(INDEX(PARAMETER!$D$31:$D$38,MATCH(J33,PARAMETER!$B$31:$B$38,0)),"?"))</f>
        <v/>
      </c>
      <c r="U33" s="37" t="str">
        <f aca="false">IF($A33="","",IF(H33="Resign",0,1))</f>
        <v/>
      </c>
    </row>
    <row r="34" customFormat="false" ht="15" hidden="false" customHeight="false" outlineLevel="0" collapsed="false">
      <c r="A34" s="31"/>
      <c r="B34" s="31"/>
      <c r="C34" s="34"/>
      <c r="D34" s="35"/>
      <c r="E34" s="31"/>
      <c r="F34" s="31"/>
      <c r="G34" s="34"/>
      <c r="H34" s="31"/>
      <c r="I34" s="35"/>
      <c r="J34" s="34"/>
      <c r="K34" s="36"/>
      <c r="L34" s="36"/>
      <c r="M34" s="31"/>
      <c r="N34" s="31"/>
      <c r="O34" s="35"/>
      <c r="P34" s="35"/>
      <c r="Q34" s="31"/>
      <c r="R34" s="37" t="str">
        <f aca="false">IF(OR($A34="",D34=""),"",INT((PARAMETER!$C$13-D34)/365.25))</f>
        <v/>
      </c>
      <c r="S34" s="38" t="str">
        <f aca="false">IF(OR($A34="",I34=""),"",ROUND((IF(O34="",PARAMETER!$C$13,MIN(O34,PARAMETER!$C$13))-I34)/365.25,1))</f>
        <v/>
      </c>
      <c r="T34" s="39" t="str">
        <f aca="false">IF($A34="","",IFERROR(INDEX(PARAMETER!$D$31:$D$38,MATCH(J34,PARAMETER!$B$31:$B$38,0)),"?"))</f>
        <v/>
      </c>
      <c r="U34" s="37" t="str">
        <f aca="false">IF($A34="","",IF(H34="Resign",0,1))</f>
        <v/>
      </c>
    </row>
    <row r="35" customFormat="false" ht="15" hidden="false" customHeight="false" outlineLevel="0" collapsed="false">
      <c r="A35" s="31"/>
      <c r="B35" s="31"/>
      <c r="C35" s="34"/>
      <c r="D35" s="35"/>
      <c r="E35" s="31"/>
      <c r="F35" s="31"/>
      <c r="G35" s="34"/>
      <c r="H35" s="31"/>
      <c r="I35" s="35"/>
      <c r="J35" s="34"/>
      <c r="K35" s="36"/>
      <c r="L35" s="36"/>
      <c r="M35" s="31"/>
      <c r="N35" s="31"/>
      <c r="O35" s="35"/>
      <c r="P35" s="35"/>
      <c r="Q35" s="31"/>
      <c r="R35" s="37" t="str">
        <f aca="false">IF(OR($A35="",D35=""),"",INT((PARAMETER!$C$13-D35)/365.25))</f>
        <v/>
      </c>
      <c r="S35" s="38" t="str">
        <f aca="false">IF(OR($A35="",I35=""),"",ROUND((IF(O35="",PARAMETER!$C$13,MIN(O35,PARAMETER!$C$13))-I35)/365.25,1))</f>
        <v/>
      </c>
      <c r="T35" s="39" t="str">
        <f aca="false">IF($A35="","",IFERROR(INDEX(PARAMETER!$D$31:$D$38,MATCH(J35,PARAMETER!$B$31:$B$38,0)),"?"))</f>
        <v/>
      </c>
      <c r="U35" s="37" t="str">
        <f aca="false">IF($A35="","",IF(H35="Resign",0,1))</f>
        <v/>
      </c>
    </row>
  </sheetData>
  <sheetProtection sheet="true" formatColumns="false" formatRows="false"/>
  <autoFilter ref="A5:V35"/>
  <mergeCells count="1">
    <mergeCell ref="A3:V3"/>
  </mergeCells>
  <conditionalFormatting sqref="H6:H35">
    <cfRule type="cellIs" priority="2" operator="equal" aboveAverage="0" equalAverage="0" bottom="0" percent="0" rank="0" text="" dxfId="6">
      <formula>"Resign"</formula>
    </cfRule>
  </conditionalFormatting>
  <conditionalFormatting sqref="P6:P35">
    <cfRule type="expression" priority="3" aboveAverage="0" equalAverage="0" bottom="0" percent="0" rank="0" text="" dxfId="7">
      <formula>AND(ISNUMBER($P6),$P6&lt;=PARAMETER!$C$13+60)</formula>
    </cfRule>
  </conditionalFormatting>
  <dataValidations count="6">
    <dataValidation allowBlank="true" errorStyle="stop" operator="between" showDropDown="false" showErrorMessage="false" showInputMessage="false" sqref="E6:E35" type="list">
      <formula1>PARAMETER!$B$42:$B$49</formula1>
      <formula2>0</formula2>
    </dataValidation>
    <dataValidation allowBlank="true" errorStyle="stop" operator="between" showDropDown="false" showErrorMessage="false" showInputMessage="false" sqref="H6:H35" type="list">
      <formula1>PARAMETER!$C$42:$C$49</formula1>
      <formula2>0</formula2>
    </dataValidation>
    <dataValidation allowBlank="true" errorStyle="stop" operator="between" showDropDown="false" showErrorMessage="false" showInputMessage="false" sqref="N6:N35" type="list">
      <formula1>PARAMETER!$D$42:$D$49</formula1>
      <formula2>0</formula2>
    </dataValidation>
    <dataValidation allowBlank="true" errorStyle="stop" operator="between" showDropDown="false" showErrorMessage="false" showInputMessage="false" sqref="C6:C35" type="list">
      <formula1>"L,P"</formula1>
      <formula2>0</formula2>
    </dataValidation>
    <dataValidation allowBlank="true" errorStyle="stop" operator="between" showDropDown="false" showErrorMessage="false" showInputMessage="false" sqref="J6:J35" type="list">
      <formula1>PARAMETER!$B$31:$B$38</formula1>
      <formula2>0</formula2>
    </dataValidation>
    <dataValidation allowBlank="true" errorStyle="stop" operator="between" showDropDown="false" showErrorMessage="false" showInputMessage="false" sqref="G6:G35" type="list">
      <formula1>PARAMETER!$B$54:$B$61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8" min="4" style="0" width="8"/>
    <col collapsed="false" customWidth="true" hidden="false" outlineLevel="0" max="9" min="9" style="0" width="9"/>
    <col collapsed="false" customWidth="true" hidden="false" outlineLevel="0" max="11" min="10" style="0" width="15"/>
    <col collapsed="false" customWidth="true" hidden="false" outlineLevel="0" max="12" min="12" style="0" width="24"/>
    <col collapsed="false" customWidth="true" hidden="false" outlineLevel="0" max="13" min="13" style="0" width="11"/>
  </cols>
  <sheetData>
    <row r="1" customFormat="false" ht="24" hidden="false" customHeight="true" outlineLevel="0" collapsed="false">
      <c r="A1" s="13" t="s">
        <v>227</v>
      </c>
    </row>
    <row r="2" customFormat="false" ht="15" hidden="false" customHeight="false" outlineLevel="0" collapsed="false">
      <c r="A2" s="14" t="str">
        <f aca="false">"Periode "&amp;CHOOSE(PARAMETER!$C$6,"Januari","Februari","Maret","April","Mei","Juni","Juli","Agustus","September","Oktober","November","Desember")&amp;" "&amp;PARAMETER!$C$7&amp;" · hari kerja "&amp;PARAMETER!$C$8</f>
        <v>Periode Oktober 2026 · hari kerja 22</v>
      </c>
    </row>
    <row r="3" customFormat="false" ht="15" hidden="false" customHeight="false" outlineLevel="0" collapsed="false">
      <c r="A3" s="15" t="s">
        <v>44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</row>
    <row r="5" customFormat="false" ht="39.75" hidden="false" customHeight="true" outlineLevel="0" collapsed="false">
      <c r="A5" s="25" t="s">
        <v>162</v>
      </c>
      <c r="B5" s="25" t="s">
        <v>163</v>
      </c>
      <c r="C5" s="25" t="s">
        <v>95</v>
      </c>
      <c r="D5" s="25" t="s">
        <v>228</v>
      </c>
      <c r="E5" s="25" t="s">
        <v>116</v>
      </c>
      <c r="F5" s="25" t="s">
        <v>229</v>
      </c>
      <c r="G5" s="25" t="s">
        <v>230</v>
      </c>
      <c r="H5" s="25" t="s">
        <v>231</v>
      </c>
      <c r="I5" s="25" t="s">
        <v>232</v>
      </c>
      <c r="J5" s="25" t="s">
        <v>233</v>
      </c>
      <c r="K5" s="25" t="s">
        <v>234</v>
      </c>
      <c r="L5" s="25" t="s">
        <v>34</v>
      </c>
      <c r="M5" s="25" t="s">
        <v>235</v>
      </c>
    </row>
    <row r="6" customFormat="false" ht="15" hidden="false" customHeight="false" outlineLevel="0" collapsed="false">
      <c r="A6" s="40" t="str">
        <f aca="false">IF(KARYAWAN!A6="","",KARYAWAN!A6)</f>
        <v>K-001</v>
      </c>
      <c r="B6" s="40" t="str">
        <f aca="false">IF(KARYAWAN!A6="","",KARYAWAN!B6)</f>
        <v>Dian Pratama</v>
      </c>
      <c r="C6" s="40" t="str">
        <f aca="false">IF(KARYAWAN!A6="","",KARYAWAN!E6)</f>
        <v>Teknologi</v>
      </c>
      <c r="D6" s="41" t="n">
        <v>20</v>
      </c>
      <c r="E6" s="41" t="n">
        <v>2</v>
      </c>
      <c r="F6" s="41" t="n">
        <v>0</v>
      </c>
      <c r="G6" s="41" t="n">
        <v>0</v>
      </c>
      <c r="H6" s="41" t="n">
        <v>0</v>
      </c>
      <c r="I6" s="41" t="n">
        <v>0</v>
      </c>
      <c r="J6" s="36" t="n">
        <v>0</v>
      </c>
      <c r="K6" s="36" t="n">
        <v>500000</v>
      </c>
      <c r="L6" s="31"/>
      <c r="M6" s="39" t="str">
        <f aca="false">IF(A6="","",IF(KARYAWAN!U6=0,"Resign",IF(SUM(D6:H6)=PARAMETER!$C$8,"OK","Cek hari")))</f>
        <v>OK</v>
      </c>
    </row>
    <row r="7" customFormat="false" ht="15" hidden="false" customHeight="false" outlineLevel="0" collapsed="false">
      <c r="A7" s="40" t="str">
        <f aca="false">IF(KARYAWAN!A7="","",KARYAWAN!A7)</f>
        <v>K-002</v>
      </c>
      <c r="B7" s="40" t="str">
        <f aca="false">IF(KARYAWAN!A7="","",KARYAWAN!B7)</f>
        <v>Nadia Utami</v>
      </c>
      <c r="C7" s="40" t="str">
        <f aca="false">IF(KARYAWAN!A7="","",KARYAWAN!E7)</f>
        <v>SDM</v>
      </c>
      <c r="D7" s="41" t="n">
        <v>20</v>
      </c>
      <c r="E7" s="41" t="n">
        <v>0</v>
      </c>
      <c r="F7" s="41" t="n">
        <v>0</v>
      </c>
      <c r="G7" s="41" t="n">
        <v>2</v>
      </c>
      <c r="H7" s="41" t="n">
        <v>0</v>
      </c>
      <c r="I7" s="41" t="n">
        <v>12</v>
      </c>
      <c r="J7" s="36" t="n">
        <v>0</v>
      </c>
      <c r="K7" s="36" t="n">
        <v>250000</v>
      </c>
      <c r="L7" s="31"/>
      <c r="M7" s="39" t="str">
        <f aca="false">IF(A7="","",IF(KARYAWAN!U7=0,"Resign",IF(SUM(D7:H7)=PARAMETER!$C$8,"OK","Cek hari")))</f>
        <v>OK</v>
      </c>
    </row>
    <row r="8" customFormat="false" ht="15" hidden="false" customHeight="false" outlineLevel="0" collapsed="false">
      <c r="A8" s="40" t="str">
        <f aca="false">IF(KARYAWAN!A8="","",KARYAWAN!A8)</f>
        <v>K-003</v>
      </c>
      <c r="B8" s="40" t="str">
        <f aca="false">IF(KARYAWAN!A8="","",KARYAWAN!B8)</f>
        <v>Farah Kusuma</v>
      </c>
      <c r="C8" s="40" t="str">
        <f aca="false">IF(KARYAWAN!A8="","",KARYAWAN!E8)</f>
        <v>Teknologi</v>
      </c>
      <c r="D8" s="41" t="n">
        <v>19</v>
      </c>
      <c r="E8" s="41" t="n">
        <v>0</v>
      </c>
      <c r="F8" s="41" t="n">
        <v>1</v>
      </c>
      <c r="G8" s="41" t="n">
        <v>2</v>
      </c>
      <c r="H8" s="41" t="n">
        <v>0</v>
      </c>
      <c r="I8" s="41" t="n">
        <v>0</v>
      </c>
      <c r="J8" s="36" t="n">
        <v>0</v>
      </c>
      <c r="K8" s="36" t="n">
        <v>0</v>
      </c>
      <c r="L8" s="31"/>
      <c r="M8" s="39" t="str">
        <f aca="false">IF(A8="","",IF(KARYAWAN!U8=0,"Resign",IF(SUM(D8:H8)=PARAMETER!$C$8,"OK","Cek hari")))</f>
        <v>OK</v>
      </c>
    </row>
    <row r="9" customFormat="false" ht="15" hidden="false" customHeight="false" outlineLevel="0" collapsed="false">
      <c r="A9" s="40" t="str">
        <f aca="false">IF(KARYAWAN!A9="","",KARYAWAN!A9)</f>
        <v>K-004</v>
      </c>
      <c r="B9" s="40" t="str">
        <f aca="false">IF(KARYAWAN!A9="","",KARYAWAN!B9)</f>
        <v>Dimas Nugroho</v>
      </c>
      <c r="C9" s="40" t="str">
        <f aca="false">IF(KARYAWAN!A9="","",KARYAWAN!E9)</f>
        <v>SDM</v>
      </c>
      <c r="D9" s="41" t="n">
        <v>19</v>
      </c>
      <c r="E9" s="41" t="n">
        <v>0</v>
      </c>
      <c r="F9" s="41" t="n">
        <v>0</v>
      </c>
      <c r="G9" s="41" t="n">
        <v>3</v>
      </c>
      <c r="H9" s="41" t="n">
        <v>0</v>
      </c>
      <c r="I9" s="41" t="n">
        <v>10</v>
      </c>
      <c r="J9" s="36" t="n">
        <v>0</v>
      </c>
      <c r="K9" s="36" t="n">
        <v>250000</v>
      </c>
      <c r="L9" s="31"/>
      <c r="M9" s="39" t="str">
        <f aca="false">IF(A9="","",IF(KARYAWAN!U9=0,"Resign",IF(SUM(D9:H9)=PARAMETER!$C$8,"OK","Cek hari")))</f>
        <v>OK</v>
      </c>
    </row>
    <row r="10" customFormat="false" ht="15" hidden="false" customHeight="false" outlineLevel="0" collapsed="false">
      <c r="A10" s="40" t="str">
        <f aca="false">IF(KARYAWAN!A10="","",KARYAWAN!A10)</f>
        <v>K-005</v>
      </c>
      <c r="B10" s="40" t="str">
        <f aca="false">IF(KARYAWAN!A10="","",KARYAWAN!B10)</f>
        <v>Dimas Pratama</v>
      </c>
      <c r="C10" s="40" t="str">
        <f aca="false">IF(KARYAWAN!A10="","",KARYAWAN!E10)</f>
        <v>Teknologi</v>
      </c>
      <c r="D10" s="41" t="n">
        <v>21</v>
      </c>
      <c r="E10" s="41" t="n">
        <v>1</v>
      </c>
      <c r="F10" s="41" t="n">
        <v>0</v>
      </c>
      <c r="G10" s="41" t="n">
        <v>0</v>
      </c>
      <c r="H10" s="41" t="n">
        <v>0</v>
      </c>
      <c r="I10" s="41" t="n">
        <v>12</v>
      </c>
      <c r="J10" s="36" t="n">
        <v>0</v>
      </c>
      <c r="K10" s="36" t="n">
        <v>500000</v>
      </c>
      <c r="L10" s="31"/>
      <c r="M10" s="39" t="str">
        <f aca="false">IF(A10="","",IF(KARYAWAN!U10=0,"Resign",IF(SUM(D10:H10)=PARAMETER!$C$8,"OK","Cek hari")))</f>
        <v>OK</v>
      </c>
    </row>
    <row r="11" customFormat="false" ht="15" hidden="false" customHeight="false" outlineLevel="0" collapsed="false">
      <c r="A11" s="40" t="str">
        <f aca="false">IF(KARYAWAN!A11="","",KARYAWAN!A11)</f>
        <v>K-006</v>
      </c>
      <c r="B11" s="40" t="str">
        <f aca="false">IF(KARYAWAN!A11="","",KARYAWAN!B11)</f>
        <v>Nadia Pratama</v>
      </c>
      <c r="C11" s="40" t="str">
        <f aca="false">IF(KARYAWAN!A11="","",KARYAWAN!E11)</f>
        <v>SDM</v>
      </c>
      <c r="D11" s="41" t="n">
        <v>22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36" t="n">
        <v>0</v>
      </c>
      <c r="K11" s="36" t="n">
        <v>0</v>
      </c>
      <c r="L11" s="31"/>
      <c r="M11" s="39" t="str">
        <f aca="false">IF(A11="","",IF(KARYAWAN!U11=0,"Resign",IF(SUM(D11:H11)=PARAMETER!$C$8,"OK","Cek hari")))</f>
        <v>OK</v>
      </c>
    </row>
    <row r="12" customFormat="false" ht="15" hidden="false" customHeight="false" outlineLevel="0" collapsed="false">
      <c r="A12" s="40" t="str">
        <f aca="false">IF(KARYAWAN!A12="","",KARYAWAN!A12)</f>
        <v>K-007</v>
      </c>
      <c r="B12" s="40" t="str">
        <f aca="false">IF(KARYAWAN!A12="","",KARYAWAN!B12)</f>
        <v>Wahyu Hidayat</v>
      </c>
      <c r="C12" s="40" t="str">
        <f aca="false">IF(KARYAWAN!A12="","",KARYAWAN!E12)</f>
        <v>SDM</v>
      </c>
      <c r="D12" s="41" t="n">
        <v>22</v>
      </c>
      <c r="E12" s="41" t="n">
        <v>0</v>
      </c>
      <c r="F12" s="41" t="n">
        <v>0</v>
      </c>
      <c r="G12" s="41" t="n">
        <v>0</v>
      </c>
      <c r="H12" s="41" t="n">
        <v>0</v>
      </c>
      <c r="I12" s="41" t="n">
        <v>8</v>
      </c>
      <c r="J12" s="36" t="n">
        <v>0</v>
      </c>
      <c r="K12" s="36" t="n">
        <v>0</v>
      </c>
      <c r="L12" s="31"/>
      <c r="M12" s="39" t="str">
        <f aca="false">IF(A12="","",IF(KARYAWAN!U12=0,"Resign",IF(SUM(D12:H12)=PARAMETER!$C$8,"OK","Cek hari")))</f>
        <v>OK</v>
      </c>
    </row>
    <row r="13" customFormat="false" ht="15" hidden="false" customHeight="false" outlineLevel="0" collapsed="false">
      <c r="A13" s="40" t="str">
        <f aca="false">IF(KARYAWAN!A13="","",KARYAWAN!A13)</f>
        <v>K-008</v>
      </c>
      <c r="B13" s="40" t="str">
        <f aca="false">IF(KARYAWAN!A13="","",KARYAWAN!B13)</f>
        <v>Fajar Firmansyah</v>
      </c>
      <c r="C13" s="40" t="str">
        <f aca="false">IF(KARYAWAN!A13="","",KARYAWAN!E13)</f>
        <v>Teknologi</v>
      </c>
      <c r="D13" s="41" t="n">
        <v>0</v>
      </c>
      <c r="E13" s="41" t="n">
        <v>0</v>
      </c>
      <c r="F13" s="41" t="n">
        <v>0</v>
      </c>
      <c r="G13" s="41" t="n">
        <v>0</v>
      </c>
      <c r="H13" s="41" t="n">
        <v>0</v>
      </c>
      <c r="I13" s="41" t="n">
        <v>0</v>
      </c>
      <c r="J13" s="36" t="n">
        <v>0</v>
      </c>
      <c r="K13" s="36" t="n">
        <v>0</v>
      </c>
      <c r="L13" s="31"/>
      <c r="M13" s="39" t="str">
        <f aca="false">IF(A13="","",IF(KARYAWAN!U13=0,"Resign",IF(SUM(D13:H13)=PARAMETER!$C$8,"OK","Cek hari")))</f>
        <v>Resign</v>
      </c>
    </row>
    <row r="14" customFormat="false" ht="15" hidden="false" customHeight="false" outlineLevel="0" collapsed="false">
      <c r="A14" s="40" t="str">
        <f aca="false">IF(KARYAWAN!A14="","",KARYAWAN!A14)</f>
        <v>K-009</v>
      </c>
      <c r="B14" s="40" t="str">
        <f aca="false">IF(KARYAWAN!A14="","",KARYAWAN!B14)</f>
        <v>Vero Lestari</v>
      </c>
      <c r="C14" s="40" t="str">
        <f aca="false">IF(KARYAWAN!A14="","",KARYAWAN!E14)</f>
        <v>Teknologi</v>
      </c>
      <c r="D14" s="41" t="n">
        <v>20</v>
      </c>
      <c r="E14" s="41" t="n">
        <v>0</v>
      </c>
      <c r="F14" s="41" t="n">
        <v>0</v>
      </c>
      <c r="G14" s="41" t="n">
        <v>2</v>
      </c>
      <c r="H14" s="41" t="n">
        <v>0</v>
      </c>
      <c r="I14" s="41" t="n">
        <v>4</v>
      </c>
      <c r="J14" s="36" t="n">
        <v>0</v>
      </c>
      <c r="K14" s="36" t="n">
        <v>0</v>
      </c>
      <c r="L14" s="31"/>
      <c r="M14" s="39" t="str">
        <f aca="false">IF(A14="","",IF(KARYAWAN!U14=0,"Resign",IF(SUM(D14:H14)=PARAMETER!$C$8,"OK","Cek hari")))</f>
        <v>OK</v>
      </c>
    </row>
    <row r="15" customFormat="false" ht="15" hidden="false" customHeight="false" outlineLevel="0" collapsed="false">
      <c r="A15" s="40" t="str">
        <f aca="false">IF(KARYAWAN!A15="","",KARYAWAN!A15)</f>
        <v>K-010</v>
      </c>
      <c r="B15" s="40" t="str">
        <f aca="false">IF(KARYAWAN!A15="","",KARYAWAN!B15)</f>
        <v>Tegar Santoso</v>
      </c>
      <c r="C15" s="40" t="str">
        <f aca="false">IF(KARYAWAN!A15="","",KARYAWAN!E15)</f>
        <v>Operasional</v>
      </c>
      <c r="D15" s="41" t="n">
        <v>21</v>
      </c>
      <c r="E15" s="41" t="n">
        <v>0</v>
      </c>
      <c r="F15" s="41" t="n">
        <v>1</v>
      </c>
      <c r="G15" s="41" t="n">
        <v>0</v>
      </c>
      <c r="H15" s="41" t="n">
        <v>0</v>
      </c>
      <c r="I15" s="41" t="n">
        <v>4</v>
      </c>
      <c r="J15" s="36" t="n">
        <v>0</v>
      </c>
      <c r="K15" s="36" t="n">
        <v>0</v>
      </c>
      <c r="L15" s="31"/>
      <c r="M15" s="39" t="str">
        <f aca="false">IF(A15="","",IF(KARYAWAN!U15=0,"Resign",IF(SUM(D15:H15)=PARAMETER!$C$8,"OK","Cek hari")))</f>
        <v>OK</v>
      </c>
    </row>
    <row r="16" customFormat="false" ht="15" hidden="false" customHeight="false" outlineLevel="0" collapsed="false">
      <c r="A16" s="40" t="str">
        <f aca="false">IF(KARYAWAN!A16="","",KARYAWAN!A16)</f>
        <v>K-011</v>
      </c>
      <c r="B16" s="40" t="str">
        <f aca="false">IF(KARYAWAN!A16="","",KARYAWAN!B16)</f>
        <v>Tegar Pratama</v>
      </c>
      <c r="C16" s="40" t="str">
        <f aca="false">IF(KARYAWAN!A16="","",KARYAWAN!E16)</f>
        <v>Keuangan</v>
      </c>
      <c r="D16" s="41" t="n">
        <v>21</v>
      </c>
      <c r="E16" s="41" t="n">
        <v>0</v>
      </c>
      <c r="F16" s="41" t="n">
        <v>1</v>
      </c>
      <c r="G16" s="41" t="n">
        <v>0</v>
      </c>
      <c r="H16" s="41" t="n">
        <v>0</v>
      </c>
      <c r="I16" s="41" t="n">
        <v>0</v>
      </c>
      <c r="J16" s="36" t="n">
        <v>0</v>
      </c>
      <c r="K16" s="36" t="n">
        <v>0</v>
      </c>
      <c r="L16" s="31"/>
      <c r="M16" s="39" t="str">
        <f aca="false">IF(A16="","",IF(KARYAWAN!U16=0,"Resign",IF(SUM(D16:H16)=PARAMETER!$C$8,"OK","Cek hari")))</f>
        <v>OK</v>
      </c>
    </row>
    <row r="17" customFormat="false" ht="15" hidden="false" customHeight="false" outlineLevel="0" collapsed="false">
      <c r="A17" s="40" t="str">
        <f aca="false">IF(KARYAWAN!A17="","",KARYAWAN!A17)</f>
        <v>K-012</v>
      </c>
      <c r="B17" s="40" t="str">
        <f aca="false">IF(KARYAWAN!A17="","",KARYAWAN!B17)</f>
        <v>Eko Maulana</v>
      </c>
      <c r="C17" s="40" t="str">
        <f aca="false">IF(KARYAWAN!A17="","",KARYAWAN!E17)</f>
        <v>Teknologi</v>
      </c>
      <c r="D17" s="41" t="n">
        <v>20</v>
      </c>
      <c r="E17" s="41" t="n">
        <v>0</v>
      </c>
      <c r="F17" s="41" t="n">
        <v>0</v>
      </c>
      <c r="G17" s="41" t="n">
        <v>1</v>
      </c>
      <c r="H17" s="41" t="n">
        <v>1</v>
      </c>
      <c r="I17" s="41" t="n">
        <v>8</v>
      </c>
      <c r="J17" s="36" t="n">
        <v>0</v>
      </c>
      <c r="K17" s="36" t="n">
        <v>0</v>
      </c>
      <c r="L17" s="31"/>
      <c r="M17" s="39" t="str">
        <f aca="false">IF(A17="","",IF(KARYAWAN!U17=0,"Resign",IF(SUM(D17:H17)=PARAMETER!$C$8,"OK","Cek hari")))</f>
        <v>OK</v>
      </c>
    </row>
    <row r="18" customFormat="false" ht="15" hidden="false" customHeight="false" outlineLevel="0" collapsed="false">
      <c r="A18" s="40" t="str">
        <f aca="false">IF(KARYAWAN!A18="","",KARYAWAN!A18)</f>
        <v>K-013</v>
      </c>
      <c r="B18" s="40" t="str">
        <f aca="false">IF(KARYAWAN!A18="","",KARYAWAN!B18)</f>
        <v>Fajar Lestari</v>
      </c>
      <c r="C18" s="40" t="str">
        <f aca="false">IF(KARYAWAN!A18="","",KARYAWAN!E18)</f>
        <v>Operasional</v>
      </c>
      <c r="D18" s="41" t="n">
        <v>19</v>
      </c>
      <c r="E18" s="41" t="n">
        <v>3</v>
      </c>
      <c r="F18" s="41" t="n">
        <v>0</v>
      </c>
      <c r="G18" s="41" t="n">
        <v>0</v>
      </c>
      <c r="H18" s="41" t="n">
        <v>0</v>
      </c>
      <c r="I18" s="41" t="n">
        <v>10</v>
      </c>
      <c r="J18" s="36" t="n">
        <v>0</v>
      </c>
      <c r="K18" s="36" t="n">
        <v>0</v>
      </c>
      <c r="L18" s="31"/>
      <c r="M18" s="39" t="str">
        <f aca="false">IF(A18="","",IF(KARYAWAN!U18=0,"Resign",IF(SUM(D18:H18)=PARAMETER!$C$8,"OK","Cek hari")))</f>
        <v>OK</v>
      </c>
    </row>
    <row r="19" customFormat="false" ht="15" hidden="false" customHeight="false" outlineLevel="0" collapsed="false">
      <c r="A19" s="40" t="str">
        <f aca="false">IF(KARYAWAN!A19="","",KARYAWAN!A19)</f>
        <v>K-014</v>
      </c>
      <c r="B19" s="40" t="str">
        <f aca="false">IF(KARYAWAN!A19="","",KARYAWAN!B19)</f>
        <v>Wulan Pratama</v>
      </c>
      <c r="C19" s="40" t="str">
        <f aca="false">IF(KARYAWAN!A19="","",KARYAWAN!E19)</f>
        <v>Keuangan</v>
      </c>
      <c r="D19" s="41" t="n">
        <v>20</v>
      </c>
      <c r="E19" s="41" t="n">
        <v>2</v>
      </c>
      <c r="F19" s="41" t="n">
        <v>0</v>
      </c>
      <c r="G19" s="41" t="n">
        <v>0</v>
      </c>
      <c r="H19" s="41" t="n">
        <v>0</v>
      </c>
      <c r="I19" s="41" t="n">
        <v>10</v>
      </c>
      <c r="J19" s="36" t="n">
        <v>0</v>
      </c>
      <c r="K19" s="36" t="n">
        <v>0</v>
      </c>
      <c r="L19" s="31"/>
      <c r="M19" s="39" t="str">
        <f aca="false">IF(A19="","",IF(KARYAWAN!U19=0,"Resign",IF(SUM(D19:H19)=PARAMETER!$C$8,"OK","Cek hari")))</f>
        <v>OK</v>
      </c>
    </row>
    <row r="20" customFormat="false" ht="15" hidden="false" customHeight="false" outlineLevel="0" collapsed="false">
      <c r="A20" s="40" t="str">
        <f aca="false">IF(KARYAWAN!A20="","",KARYAWAN!A20)</f>
        <v>K-015</v>
      </c>
      <c r="B20" s="40" t="str">
        <f aca="false">IF(KARYAWAN!A20="","",KARYAWAN!B20)</f>
        <v>Eko Setiawan</v>
      </c>
      <c r="C20" s="40" t="str">
        <f aca="false">IF(KARYAWAN!A20="","",KARYAWAN!E20)</f>
        <v>Operasional</v>
      </c>
      <c r="D20" s="41" t="n">
        <v>22</v>
      </c>
      <c r="E20" s="41" t="n">
        <v>0</v>
      </c>
      <c r="F20" s="41" t="n">
        <v>0</v>
      </c>
      <c r="G20" s="41" t="n">
        <v>0</v>
      </c>
      <c r="H20" s="41" t="n">
        <v>0</v>
      </c>
      <c r="I20" s="41" t="n">
        <v>6</v>
      </c>
      <c r="J20" s="36" t="n">
        <v>0</v>
      </c>
      <c r="K20" s="36" t="n">
        <v>0</v>
      </c>
      <c r="L20" s="31"/>
      <c r="M20" s="39" t="str">
        <f aca="false">IF(A20="","",IF(KARYAWAN!U20=0,"Resign",IF(SUM(D20:H20)=PARAMETER!$C$8,"OK","Cek hari")))</f>
        <v>OK</v>
      </c>
    </row>
    <row r="21" customFormat="false" ht="15" hidden="false" customHeight="false" outlineLevel="0" collapsed="false">
      <c r="A21" s="40" t="str">
        <f aca="false">IF(KARYAWAN!A21="","",KARYAWAN!A21)</f>
        <v>K-016</v>
      </c>
      <c r="B21" s="40" t="str">
        <f aca="false">IF(KARYAWAN!A21="","",KARYAWAN!B21)</f>
        <v>Putra Santoso</v>
      </c>
      <c r="C21" s="40" t="str">
        <f aca="false">IF(KARYAWAN!A21="","",KARYAWAN!E21)</f>
        <v>Keuangan</v>
      </c>
      <c r="D21" s="41" t="n">
        <v>21</v>
      </c>
      <c r="E21" s="41" t="n">
        <v>1</v>
      </c>
      <c r="F21" s="41" t="n">
        <v>0</v>
      </c>
      <c r="G21" s="41" t="n">
        <v>0</v>
      </c>
      <c r="H21" s="41" t="n">
        <v>0</v>
      </c>
      <c r="I21" s="41" t="n">
        <v>8</v>
      </c>
      <c r="J21" s="36" t="n">
        <v>0</v>
      </c>
      <c r="K21" s="36" t="n">
        <v>250000</v>
      </c>
      <c r="L21" s="31"/>
      <c r="M21" s="39" t="str">
        <f aca="false">IF(A21="","",IF(KARYAWAN!U21=0,"Resign",IF(SUM(D21:H21)=PARAMETER!$C$8,"OK","Cek hari")))</f>
        <v>OK</v>
      </c>
    </row>
    <row r="22" customFormat="false" ht="15" hidden="false" customHeight="false" outlineLevel="0" collapsed="false">
      <c r="A22" s="40" t="str">
        <f aca="false">IF(KARYAWAN!A22="","",KARYAWAN!A22)</f>
        <v>K-017</v>
      </c>
      <c r="B22" s="40" t="str">
        <f aca="false">IF(KARYAWAN!A22="","",KARYAWAN!B22)</f>
        <v>Jihan Maulana</v>
      </c>
      <c r="C22" s="40" t="str">
        <f aca="false">IF(KARYAWAN!A22="","",KARYAWAN!E22)</f>
        <v>Keuangan</v>
      </c>
      <c r="D22" s="41" t="n">
        <v>18</v>
      </c>
      <c r="E22" s="41" t="n">
        <v>1</v>
      </c>
      <c r="F22" s="41" t="n">
        <v>0</v>
      </c>
      <c r="G22" s="41" t="n">
        <v>3</v>
      </c>
      <c r="H22" s="41" t="n">
        <v>0</v>
      </c>
      <c r="I22" s="41" t="n">
        <v>6</v>
      </c>
      <c r="J22" s="36" t="n">
        <v>0</v>
      </c>
      <c r="K22" s="36" t="n">
        <v>500000</v>
      </c>
      <c r="L22" s="31"/>
      <c r="M22" s="39" t="str">
        <f aca="false">IF(A22="","",IF(KARYAWAN!U22=0,"Resign",IF(SUM(D22:H22)=PARAMETER!$C$8,"OK","Cek hari")))</f>
        <v>OK</v>
      </c>
    </row>
    <row r="23" customFormat="false" ht="15" hidden="false" customHeight="false" outlineLevel="0" collapsed="false">
      <c r="A23" s="40" t="str">
        <f aca="false">IF(KARYAWAN!A23="","",KARYAWAN!A23)</f>
        <v>K-018</v>
      </c>
      <c r="B23" s="40" t="str">
        <f aca="false">IF(KARYAWAN!A23="","",KARYAWAN!B23)</f>
        <v>Zahra Wijaya</v>
      </c>
      <c r="C23" s="40" t="str">
        <f aca="false">IF(KARYAWAN!A23="","",KARYAWAN!E23)</f>
        <v>Teknologi</v>
      </c>
      <c r="D23" s="41" t="n">
        <v>18</v>
      </c>
      <c r="E23" s="41" t="n">
        <v>0</v>
      </c>
      <c r="F23" s="41" t="n">
        <v>1</v>
      </c>
      <c r="G23" s="41" t="n">
        <v>3</v>
      </c>
      <c r="H23" s="41" t="n">
        <v>0</v>
      </c>
      <c r="I23" s="41" t="n">
        <v>0</v>
      </c>
      <c r="J23" s="36" t="n">
        <v>0</v>
      </c>
      <c r="K23" s="36" t="n">
        <v>0</v>
      </c>
      <c r="L23" s="31"/>
      <c r="M23" s="39" t="str">
        <f aca="false">IF(A23="","",IF(KARYAWAN!U23=0,"Resign",IF(SUM(D23:H23)=PARAMETER!$C$8,"OK","Cek hari")))</f>
        <v>OK</v>
      </c>
    </row>
    <row r="24" customFormat="false" ht="15" hidden="false" customHeight="false" outlineLevel="0" collapsed="false">
      <c r="A24" s="40" t="str">
        <f aca="false">IF(KARYAWAN!A24="","",KARYAWAN!A24)</f>
        <v>K-019</v>
      </c>
      <c r="B24" s="40" t="str">
        <f aca="false">IF(KARYAWAN!A24="","",KARYAWAN!B24)</f>
        <v>Citra Saputra</v>
      </c>
      <c r="C24" s="40" t="str">
        <f aca="false">IF(KARYAWAN!A24="","",KARYAWAN!E24)</f>
        <v>Teknologi</v>
      </c>
      <c r="D24" s="41" t="n">
        <v>20</v>
      </c>
      <c r="E24" s="41" t="n">
        <v>1</v>
      </c>
      <c r="F24" s="41" t="n">
        <v>1</v>
      </c>
      <c r="G24" s="41" t="n">
        <v>0</v>
      </c>
      <c r="H24" s="41" t="n">
        <v>0</v>
      </c>
      <c r="I24" s="41" t="n">
        <v>0</v>
      </c>
      <c r="J24" s="36" t="n">
        <v>0</v>
      </c>
      <c r="K24" s="36" t="n">
        <v>0</v>
      </c>
      <c r="L24" s="31"/>
      <c r="M24" s="39" t="str">
        <f aca="false">IF(A24="","",IF(KARYAWAN!U24=0,"Resign",IF(SUM(D24:H24)=PARAMETER!$C$8,"OK","Cek hari")))</f>
        <v>OK</v>
      </c>
    </row>
    <row r="25" customFormat="false" ht="15" hidden="false" customHeight="false" outlineLevel="0" collapsed="false">
      <c r="A25" s="40" t="str">
        <f aca="false">IF(KARYAWAN!A25="","",KARYAWAN!A25)</f>
        <v>K-020</v>
      </c>
      <c r="B25" s="40" t="str">
        <f aca="false">IF(KARYAWAN!A25="","",KARYAWAN!B25)</f>
        <v>Dimas Wijaya</v>
      </c>
      <c r="C25" s="40" t="str">
        <f aca="false">IF(KARYAWAN!A25="","",KARYAWAN!E25)</f>
        <v>Teknologi</v>
      </c>
      <c r="D25" s="41" t="n">
        <v>22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8</v>
      </c>
      <c r="J25" s="36" t="n">
        <v>0</v>
      </c>
      <c r="K25" s="36" t="n">
        <v>500000</v>
      </c>
      <c r="L25" s="31"/>
      <c r="M25" s="39" t="str">
        <f aca="false">IF(A25="","",IF(KARYAWAN!U25=0,"Resign",IF(SUM(D25:H25)=PARAMETER!$C$8,"OK","Cek hari")))</f>
        <v>OK</v>
      </c>
    </row>
    <row r="26" customFormat="false" ht="15" hidden="false" customHeight="false" outlineLevel="0" collapsed="false">
      <c r="A26" s="40" t="str">
        <f aca="false">IF(KARYAWAN!A26="","",KARYAWAN!A26)</f>
        <v/>
      </c>
      <c r="B26" s="40" t="str">
        <f aca="false">IF(KARYAWAN!A26="","",KARYAWAN!B26)</f>
        <v/>
      </c>
      <c r="C26" s="40" t="str">
        <f aca="false">IF(KARYAWAN!A26="","",KARYAWAN!E26)</f>
        <v/>
      </c>
      <c r="D26" s="41"/>
      <c r="E26" s="41"/>
      <c r="F26" s="41"/>
      <c r="G26" s="41"/>
      <c r="H26" s="41"/>
      <c r="I26" s="41"/>
      <c r="J26" s="36"/>
      <c r="K26" s="36"/>
      <c r="L26" s="31"/>
      <c r="M26" s="39" t="str">
        <f aca="false">IF(A26="","",IF(KARYAWAN!U26=0,"Resign",IF(SUM(D26:H26)=PARAMETER!$C$8,"OK","Cek hari")))</f>
        <v/>
      </c>
    </row>
    <row r="27" customFormat="false" ht="15" hidden="false" customHeight="false" outlineLevel="0" collapsed="false">
      <c r="A27" s="40" t="str">
        <f aca="false">IF(KARYAWAN!A27="","",KARYAWAN!A27)</f>
        <v/>
      </c>
      <c r="B27" s="40" t="str">
        <f aca="false">IF(KARYAWAN!A27="","",KARYAWAN!B27)</f>
        <v/>
      </c>
      <c r="C27" s="40" t="str">
        <f aca="false">IF(KARYAWAN!A27="","",KARYAWAN!E27)</f>
        <v/>
      </c>
      <c r="D27" s="41"/>
      <c r="E27" s="41"/>
      <c r="F27" s="41"/>
      <c r="G27" s="41"/>
      <c r="H27" s="41"/>
      <c r="I27" s="41"/>
      <c r="J27" s="36"/>
      <c r="K27" s="36"/>
      <c r="L27" s="31"/>
      <c r="M27" s="39" t="str">
        <f aca="false">IF(A27="","",IF(KARYAWAN!U27=0,"Resign",IF(SUM(D27:H27)=PARAMETER!$C$8,"OK","Cek hari")))</f>
        <v/>
      </c>
    </row>
    <row r="28" customFormat="false" ht="15" hidden="false" customHeight="false" outlineLevel="0" collapsed="false">
      <c r="A28" s="40" t="str">
        <f aca="false">IF(KARYAWAN!A28="","",KARYAWAN!A28)</f>
        <v/>
      </c>
      <c r="B28" s="40" t="str">
        <f aca="false">IF(KARYAWAN!A28="","",KARYAWAN!B28)</f>
        <v/>
      </c>
      <c r="C28" s="40" t="str">
        <f aca="false">IF(KARYAWAN!A28="","",KARYAWAN!E28)</f>
        <v/>
      </c>
      <c r="D28" s="41"/>
      <c r="E28" s="41"/>
      <c r="F28" s="41"/>
      <c r="G28" s="41"/>
      <c r="H28" s="41"/>
      <c r="I28" s="41"/>
      <c r="J28" s="36"/>
      <c r="K28" s="36"/>
      <c r="L28" s="31"/>
      <c r="M28" s="39" t="str">
        <f aca="false">IF(A28="","",IF(KARYAWAN!U28=0,"Resign",IF(SUM(D28:H28)=PARAMETER!$C$8,"OK","Cek hari")))</f>
        <v/>
      </c>
    </row>
    <row r="29" customFormat="false" ht="15" hidden="false" customHeight="false" outlineLevel="0" collapsed="false">
      <c r="A29" s="40" t="str">
        <f aca="false">IF(KARYAWAN!A29="","",KARYAWAN!A29)</f>
        <v/>
      </c>
      <c r="B29" s="40" t="str">
        <f aca="false">IF(KARYAWAN!A29="","",KARYAWAN!B29)</f>
        <v/>
      </c>
      <c r="C29" s="40" t="str">
        <f aca="false">IF(KARYAWAN!A29="","",KARYAWAN!E29)</f>
        <v/>
      </c>
      <c r="D29" s="41"/>
      <c r="E29" s="41"/>
      <c r="F29" s="41"/>
      <c r="G29" s="41"/>
      <c r="H29" s="41"/>
      <c r="I29" s="41"/>
      <c r="J29" s="36"/>
      <c r="K29" s="36"/>
      <c r="L29" s="31"/>
      <c r="M29" s="39" t="str">
        <f aca="false">IF(A29="","",IF(KARYAWAN!U29=0,"Resign",IF(SUM(D29:H29)=PARAMETER!$C$8,"OK","Cek hari")))</f>
        <v/>
      </c>
    </row>
    <row r="30" customFormat="false" ht="15" hidden="false" customHeight="false" outlineLevel="0" collapsed="false">
      <c r="A30" s="40" t="str">
        <f aca="false">IF(KARYAWAN!A30="","",KARYAWAN!A30)</f>
        <v/>
      </c>
      <c r="B30" s="40" t="str">
        <f aca="false">IF(KARYAWAN!A30="","",KARYAWAN!B30)</f>
        <v/>
      </c>
      <c r="C30" s="40" t="str">
        <f aca="false">IF(KARYAWAN!A30="","",KARYAWAN!E30)</f>
        <v/>
      </c>
      <c r="D30" s="41"/>
      <c r="E30" s="41"/>
      <c r="F30" s="41"/>
      <c r="G30" s="41"/>
      <c r="H30" s="41"/>
      <c r="I30" s="41"/>
      <c r="J30" s="36"/>
      <c r="K30" s="36"/>
      <c r="L30" s="31"/>
      <c r="M30" s="39" t="str">
        <f aca="false">IF(A30="","",IF(KARYAWAN!U30=0,"Resign",IF(SUM(D30:H30)=PARAMETER!$C$8,"OK","Cek hari")))</f>
        <v/>
      </c>
    </row>
    <row r="31" customFormat="false" ht="15" hidden="false" customHeight="false" outlineLevel="0" collapsed="false">
      <c r="A31" s="40" t="str">
        <f aca="false">IF(KARYAWAN!A31="","",KARYAWAN!A31)</f>
        <v/>
      </c>
      <c r="B31" s="40" t="str">
        <f aca="false">IF(KARYAWAN!A31="","",KARYAWAN!B31)</f>
        <v/>
      </c>
      <c r="C31" s="40" t="str">
        <f aca="false">IF(KARYAWAN!A31="","",KARYAWAN!E31)</f>
        <v/>
      </c>
      <c r="D31" s="41"/>
      <c r="E31" s="41"/>
      <c r="F31" s="41"/>
      <c r="G31" s="41"/>
      <c r="H31" s="41"/>
      <c r="I31" s="41"/>
      <c r="J31" s="36"/>
      <c r="K31" s="36"/>
      <c r="L31" s="31"/>
      <c r="M31" s="39" t="str">
        <f aca="false">IF(A31="","",IF(KARYAWAN!U31=0,"Resign",IF(SUM(D31:H31)=PARAMETER!$C$8,"OK","Cek hari")))</f>
        <v/>
      </c>
    </row>
    <row r="32" customFormat="false" ht="15" hidden="false" customHeight="false" outlineLevel="0" collapsed="false">
      <c r="A32" s="40" t="str">
        <f aca="false">IF(KARYAWAN!A32="","",KARYAWAN!A32)</f>
        <v/>
      </c>
      <c r="B32" s="40" t="str">
        <f aca="false">IF(KARYAWAN!A32="","",KARYAWAN!B32)</f>
        <v/>
      </c>
      <c r="C32" s="40" t="str">
        <f aca="false">IF(KARYAWAN!A32="","",KARYAWAN!E32)</f>
        <v/>
      </c>
      <c r="D32" s="41"/>
      <c r="E32" s="41"/>
      <c r="F32" s="41"/>
      <c r="G32" s="41"/>
      <c r="H32" s="41"/>
      <c r="I32" s="41"/>
      <c r="J32" s="36"/>
      <c r="K32" s="36"/>
      <c r="L32" s="31"/>
      <c r="M32" s="39" t="str">
        <f aca="false">IF(A32="","",IF(KARYAWAN!U32=0,"Resign",IF(SUM(D32:H32)=PARAMETER!$C$8,"OK","Cek hari")))</f>
        <v/>
      </c>
    </row>
    <row r="33" customFormat="false" ht="15" hidden="false" customHeight="false" outlineLevel="0" collapsed="false">
      <c r="A33" s="40" t="str">
        <f aca="false">IF(KARYAWAN!A33="","",KARYAWAN!A33)</f>
        <v/>
      </c>
      <c r="B33" s="40" t="str">
        <f aca="false">IF(KARYAWAN!A33="","",KARYAWAN!B33)</f>
        <v/>
      </c>
      <c r="C33" s="40" t="str">
        <f aca="false">IF(KARYAWAN!A33="","",KARYAWAN!E33)</f>
        <v/>
      </c>
      <c r="D33" s="41"/>
      <c r="E33" s="41"/>
      <c r="F33" s="41"/>
      <c r="G33" s="41"/>
      <c r="H33" s="41"/>
      <c r="I33" s="41"/>
      <c r="J33" s="36"/>
      <c r="K33" s="36"/>
      <c r="L33" s="31"/>
      <c r="M33" s="39" t="str">
        <f aca="false">IF(A33="","",IF(KARYAWAN!U33=0,"Resign",IF(SUM(D33:H33)=PARAMETER!$C$8,"OK","Cek hari")))</f>
        <v/>
      </c>
    </row>
    <row r="34" customFormat="false" ht="15" hidden="false" customHeight="false" outlineLevel="0" collapsed="false">
      <c r="A34" s="40" t="str">
        <f aca="false">IF(KARYAWAN!A34="","",KARYAWAN!A34)</f>
        <v/>
      </c>
      <c r="B34" s="40" t="str">
        <f aca="false">IF(KARYAWAN!A34="","",KARYAWAN!B34)</f>
        <v/>
      </c>
      <c r="C34" s="40" t="str">
        <f aca="false">IF(KARYAWAN!A34="","",KARYAWAN!E34)</f>
        <v/>
      </c>
      <c r="D34" s="41"/>
      <c r="E34" s="41"/>
      <c r="F34" s="41"/>
      <c r="G34" s="41"/>
      <c r="H34" s="41"/>
      <c r="I34" s="41"/>
      <c r="J34" s="36"/>
      <c r="K34" s="36"/>
      <c r="L34" s="31"/>
      <c r="M34" s="39" t="str">
        <f aca="false">IF(A34="","",IF(KARYAWAN!U34=0,"Resign",IF(SUM(D34:H34)=PARAMETER!$C$8,"OK","Cek hari")))</f>
        <v/>
      </c>
    </row>
    <row r="35" customFormat="false" ht="15" hidden="false" customHeight="false" outlineLevel="0" collapsed="false">
      <c r="A35" s="40" t="str">
        <f aca="false">IF(KARYAWAN!A35="","",KARYAWAN!A35)</f>
        <v/>
      </c>
      <c r="B35" s="40" t="str">
        <f aca="false">IF(KARYAWAN!A35="","",KARYAWAN!B35)</f>
        <v/>
      </c>
      <c r="C35" s="40" t="str">
        <f aca="false">IF(KARYAWAN!A35="","",KARYAWAN!E35)</f>
        <v/>
      </c>
      <c r="D35" s="41"/>
      <c r="E35" s="41"/>
      <c r="F35" s="41"/>
      <c r="G35" s="41"/>
      <c r="H35" s="41"/>
      <c r="I35" s="41"/>
      <c r="J35" s="36"/>
      <c r="K35" s="36"/>
      <c r="L35" s="31"/>
      <c r="M35" s="39" t="str">
        <f aca="false">IF(A35="","",IF(KARYAWAN!U35=0,"Resign",IF(SUM(D35:H35)=PARAMETER!$C$8,"OK","Cek hari")))</f>
        <v/>
      </c>
    </row>
  </sheetData>
  <sheetProtection sheet="true" formatColumns="false" formatRows="false"/>
  <mergeCells count="1">
    <mergeCell ref="A3:M3"/>
  </mergeCells>
  <conditionalFormatting sqref="M6:M35">
    <cfRule type="cellIs" priority="2" operator="equal" aboveAverage="0" equalAverage="0" bottom="0" percent="0" rank="0" text="" dxfId="8">
      <formula>"Cek hari"</formula>
    </cfRule>
    <cfRule type="cellIs" priority="3" operator="equal" aboveAverage="0" equalAverage="0" bottom="0" percent="0" rank="0" text="" dxfId="9">
      <formula>"OK"</formula>
    </cfRule>
  </conditionalFormatting>
  <dataValidations count="3">
    <dataValidation allowBlank="true" error="Isi angka antara 0 dan 31" errorStyle="stop" operator="between" showDropDown="false" showErrorMessage="true" showInputMessage="false" sqref="D6:H35" type="whole">
      <formula1>0</formula1>
      <formula2>31</formula2>
    </dataValidation>
    <dataValidation allowBlank="true" error="Isi angka antara 0 dan 200" errorStyle="stop" operator="between" showDropDown="false" showErrorMessage="true" showInputMessage="false" sqref="I6:I35" type="decimal">
      <formula1>0</formula1>
      <formula2>200</formula2>
    </dataValidation>
    <dataValidation allowBlank="true" error="Isi angka antara 0 dan 1000000000" errorStyle="stop" operator="between" showDropDown="false" showErrorMessage="true" showInputMessage="false" sqref="J6:K35" type="decimal">
      <formula1>0</formula1>
      <formula2>1000000000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8"/>
    <col collapsed="false" customWidth="true" hidden="false" outlineLevel="0" max="5" min="5" style="0" width="7"/>
    <col collapsed="false" customWidth="true" hidden="false" outlineLevel="0" max="24" min="6" style="0" width="14"/>
  </cols>
  <sheetData>
    <row r="1" customFormat="false" ht="24" hidden="false" customHeight="true" outlineLevel="0" collapsed="false">
      <c r="A1" s="13" t="s">
        <v>236</v>
      </c>
    </row>
    <row r="2" customFormat="false" ht="15" hidden="false" customHeight="false" outlineLevel="0" collapsed="false">
      <c r="A2" s="14" t="str">
        <f aca="false">"Periode "&amp;CHOOSE(PARAMETER!$C$6,"Januari","Februari","Maret","April","Mei","Juni","Juli","Agustus","September","Oktober","November","Desember")&amp;" "&amp;PARAMETER!$C$7&amp;IF(PARAMETER!$C$6=12," · PPh 21 progresif (masa pajak terakhir)"," · PPh 21 metode TER")</f>
        <v>Periode Oktober 2026 · PPh 21 metode TER</v>
      </c>
    </row>
    <row r="3" customFormat="false" ht="15" hidden="false" customHeight="false" outlineLevel="0" collapsed="false">
      <c r="A3" s="15" t="s">
        <v>44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customFormat="false" ht="15" hidden="false" customHeight="false" outlineLevel="0" collapsed="false">
      <c r="A4" s="42" t="s">
        <v>237</v>
      </c>
      <c r="B4" s="42"/>
      <c r="C4" s="42"/>
      <c r="D4" s="42"/>
      <c r="E4" s="42"/>
      <c r="F4" s="43" t="n">
        <f aca="false">SUM(F6:F35)</f>
        <v>241000000</v>
      </c>
      <c r="G4" s="43" t="n">
        <f aca="false">SUM(G6:G35)</f>
        <v>28950000</v>
      </c>
      <c r="H4" s="43" t="n">
        <f aca="false">SUM(H6:H35)</f>
        <v>9625000</v>
      </c>
      <c r="I4" s="43" t="n">
        <f aca="false">SUM(I6:I35)</f>
        <v>11550000</v>
      </c>
      <c r="J4" s="43" t="n">
        <f aca="false">SUM(J6:J35)</f>
        <v>11035114</v>
      </c>
      <c r="K4" s="43" t="n">
        <f aca="false">SUM(K6:K35)</f>
        <v>0</v>
      </c>
      <c r="L4" s="43" t="n">
        <f aca="false">SUM(L6:L35)</f>
        <v>463636</v>
      </c>
      <c r="M4" s="43" t="n">
        <f aca="false">SUM(M6:M35)</f>
        <v>9365730</v>
      </c>
      <c r="N4" s="43" t="n">
        <f aca="false">SUM(N6:N35)</f>
        <v>311062208</v>
      </c>
      <c r="O4" s="43" t="n">
        <f aca="false">SUM(O6:O35)</f>
        <v>25333417</v>
      </c>
      <c r="P4" s="43" t="n">
        <f aca="false">SUM(P6:P35)</f>
        <v>5399000</v>
      </c>
      <c r="Q4" s="43" t="n">
        <f aca="false">SUM(Q6:Q35)</f>
        <v>1856214</v>
      </c>
      <c r="R4" s="43" t="n">
        <f aca="false">SUM(R6:R35)</f>
        <v>1977000</v>
      </c>
      <c r="S4" s="43" t="n">
        <f aca="false">SUM(S6:S35)</f>
        <v>2750000</v>
      </c>
      <c r="T4" s="43" t="n">
        <f aca="false">SUM(T6:T35)</f>
        <v>264380847</v>
      </c>
      <c r="U4" s="43" t="n">
        <f aca="false">SUM(U6:U35)</f>
        <v>23066308</v>
      </c>
      <c r="V4" s="43" t="n">
        <f aca="false">SUM(V6:V35)</f>
        <v>324762786</v>
      </c>
      <c r="W4" s="44"/>
      <c r="X4" s="43" t="n">
        <f aca="false">SUM(X6:X35)</f>
        <v>25333417</v>
      </c>
    </row>
    <row r="5" customFormat="false" ht="66" hidden="false" customHeight="true" outlineLevel="0" collapsed="false">
      <c r="A5" s="25" t="s">
        <v>162</v>
      </c>
      <c r="B5" s="25" t="s">
        <v>163</v>
      </c>
      <c r="C5" s="25" t="s">
        <v>95</v>
      </c>
      <c r="D5" s="25" t="s">
        <v>169</v>
      </c>
      <c r="E5" s="25" t="s">
        <v>238</v>
      </c>
      <c r="F5" s="25" t="s">
        <v>239</v>
      </c>
      <c r="G5" s="25" t="s">
        <v>240</v>
      </c>
      <c r="H5" s="25" t="str">
        <f aca="false">PARAMETER!B11</f>
        <v>Tunjangan Transport (per hari hadir)</v>
      </c>
      <c r="I5" s="25" t="str">
        <f aca="false">PARAMETER!B12</f>
        <v>Tunjangan Makan (per hari hadir)</v>
      </c>
      <c r="J5" s="25" t="s">
        <v>241</v>
      </c>
      <c r="K5" s="25" t="s">
        <v>242</v>
      </c>
      <c r="L5" s="25" t="s">
        <v>243</v>
      </c>
      <c r="M5" s="25" t="s">
        <v>244</v>
      </c>
      <c r="N5" s="25" t="s">
        <v>245</v>
      </c>
      <c r="O5" s="25" t="s">
        <v>246</v>
      </c>
      <c r="P5" s="25" t="s">
        <v>247</v>
      </c>
      <c r="Q5" s="25" t="s">
        <v>248</v>
      </c>
      <c r="R5" s="25" t="s">
        <v>249</v>
      </c>
      <c r="S5" s="25" t="s">
        <v>250</v>
      </c>
      <c r="T5" s="25" t="s">
        <v>251</v>
      </c>
      <c r="U5" s="25" t="s">
        <v>252</v>
      </c>
      <c r="V5" s="25" t="s">
        <v>253</v>
      </c>
      <c r="W5" s="25" t="s">
        <v>254</v>
      </c>
      <c r="X5" s="25" t="s">
        <v>255</v>
      </c>
    </row>
    <row r="6" customFormat="false" ht="15" hidden="false" customHeight="false" outlineLevel="0" collapsed="false">
      <c r="A6" s="40" t="str">
        <f aca="false">IF(KARYAWAN!A6="","",KARYAWAN!A6)</f>
        <v>K-001</v>
      </c>
      <c r="B6" s="40" t="str">
        <f aca="false">IF($A6="","",KARYAWAN!B6)</f>
        <v>Dian Pratama</v>
      </c>
      <c r="C6" s="40" t="str">
        <f aca="false">IF($A6="","",KARYAWAN!E6)</f>
        <v>Teknologi</v>
      </c>
      <c r="D6" s="39" t="str">
        <f aca="false">IF($A6="","",KARYAWAN!J6)</f>
        <v>TK/1</v>
      </c>
      <c r="E6" s="39" t="str">
        <f aca="false">IF($A6="","",KARYAWAN!T6)</f>
        <v>A</v>
      </c>
      <c r="F6" s="45" t="n">
        <f aca="false">IF($A6="","",KARYAWAN!$U6*KARYAWAN!K6)</f>
        <v>49500000</v>
      </c>
      <c r="G6" s="45" t="n">
        <f aca="false">IF($A6="","",KARYAWAN!$U6*KARYAWAN!L6)</f>
        <v>5100000</v>
      </c>
      <c r="H6" s="45" t="n">
        <f aca="false">IF($A6="","",KARYAWAN!$U6*ABSENSI!D6*PARAMETER!$C$11)</f>
        <v>500000</v>
      </c>
      <c r="I6" s="45" t="n">
        <f aca="false">IF($A6="","",KARYAWAN!$U6*ABSENSI!D6*PARAMETER!$C$12)</f>
        <v>600000</v>
      </c>
      <c r="J6" s="45" t="n">
        <f aca="false">IF($A6="","",ROUND(KARYAWAN!$U6*ABSENSI!I6*(F6+G6)/PARAMETER!$C$9*PARAMETER!$C$10,0))</f>
        <v>0</v>
      </c>
      <c r="K6" s="45" t="n">
        <f aca="false">IF($A6="","",KARYAWAN!$U6*ABSENSI!J6)</f>
        <v>0</v>
      </c>
      <c r="L6" s="45" t="n">
        <f aca="false">IF($A6="","",ROUND(KARYAWAN!$U6*ABSENSI!H6*F6/PARAMETER!$C$8,0))</f>
        <v>0</v>
      </c>
      <c r="M6" s="45" t="n">
        <f aca="false">IF($A6="","",ROUND(MIN((F6+G6),PARAMETER!$E$24)*PARAMETER!$C$24+MIN((F6+G6),PARAMETER!$E$25)*PARAMETER!$C$25+MIN((F6+G6),PARAMETER!$E$26)*PARAMETER!$C$26,0))</f>
        <v>774840</v>
      </c>
      <c r="N6" s="45" t="n">
        <f aca="false">IF($A6="","",F6+G6+H6+I6+J6+K6-L6+M6)</f>
        <v>56474840</v>
      </c>
      <c r="O6" s="45" t="n">
        <f aca="false">IF($A6="","",X6)</f>
        <v>11294968</v>
      </c>
      <c r="P6" s="45" t="n">
        <f aca="false">IF($A6="","",ROUND(MIN((F6+G6),PARAMETER!$E$22)*PARAMETER!$D$22,0))</f>
        <v>1092000</v>
      </c>
      <c r="Q6" s="45" t="n">
        <f aca="false">IF($A6="","",ROUND(MIN((F6+G6),PARAMETER!$E$23)*PARAMETER!$D$23,0))</f>
        <v>105474</v>
      </c>
      <c r="R6" s="45" t="n">
        <f aca="false">IF($A6="","",ROUND(MIN((F6+G6),PARAMETER!$E$26)*PARAMETER!$D$26,0))</f>
        <v>120000</v>
      </c>
      <c r="S6" s="45" t="n">
        <f aca="false">IF($A6="","",KARYAWAN!$U6*ABSENSI!K6)</f>
        <v>500000</v>
      </c>
      <c r="T6" s="46" t="n">
        <f aca="false">IF($A6="","",F6+G6+H6+I6+J6+K6-L6-O6-P6-Q6-R6-S6)</f>
        <v>42587558</v>
      </c>
      <c r="U6" s="45" t="n">
        <f aca="false">IF($A6="","",M6+ROUND(MIN((F6+G6),PARAMETER!$E$22)*PARAMETER!$C$22,0)+ROUND(MIN((F6+G6),PARAMETER!$E$23)*PARAMETER!$C$23,0))</f>
        <v>3005988</v>
      </c>
      <c r="V6" s="47" t="n">
        <f aca="false">IF($A6="","",F6+G6+H6+I6+J6+K6-L6+U6)</f>
        <v>58705988</v>
      </c>
      <c r="W6" s="48" t="n">
        <f aca="false">IF($A6="","",IF(E6="A",INDEX(TARIF_TER!$C$7:$C$50,MATCH(N6,TARIF_TER!$B$7:$B$50,1)),IF(E6="B",INDEX(TARIF_TER!$F$7:$F$46,MATCH(N6,TARIF_TER!$E$7:$E$46,1)),INDEX(TARIF_TER!$I$7:$I$47,MATCH(N6,TARIF_TER!$H$7:$H$47,1)))))</f>
        <v>0.2</v>
      </c>
      <c r="X6" s="45" t="n">
        <f aca="false">IF($A6="","",ROUND(N6*W6,0))</f>
        <v>11294968</v>
      </c>
    </row>
    <row r="7" customFormat="false" ht="15" hidden="false" customHeight="false" outlineLevel="0" collapsed="false">
      <c r="A7" s="40" t="str">
        <f aca="false">IF(KARYAWAN!A7="","",KARYAWAN!A7)</f>
        <v>K-002</v>
      </c>
      <c r="B7" s="40" t="str">
        <f aca="false">IF($A7="","",KARYAWAN!B7)</f>
        <v>Nadia Utami</v>
      </c>
      <c r="C7" s="40" t="str">
        <f aca="false">IF($A7="","",KARYAWAN!E7)</f>
        <v>SDM</v>
      </c>
      <c r="D7" s="39" t="str">
        <f aca="false">IF($A7="","",KARYAWAN!J7)</f>
        <v>K/1</v>
      </c>
      <c r="E7" s="39" t="str">
        <f aca="false">IF($A7="","",KARYAWAN!T7)</f>
        <v>B</v>
      </c>
      <c r="F7" s="45" t="n">
        <f aca="false">IF($A7="","",KARYAWAN!$U7*KARYAWAN!K7)</f>
        <v>12250000</v>
      </c>
      <c r="G7" s="45" t="n">
        <f aca="false">IF($A7="","",KARYAWAN!$U7*KARYAWAN!L7)</f>
        <v>1400000</v>
      </c>
      <c r="H7" s="45" t="n">
        <f aca="false">IF($A7="","",KARYAWAN!$U7*ABSENSI!D7*PARAMETER!$C$11)</f>
        <v>500000</v>
      </c>
      <c r="I7" s="45" t="n">
        <f aca="false">IF($A7="","",KARYAWAN!$U7*ABSENSI!D7*PARAMETER!$C$12)</f>
        <v>600000</v>
      </c>
      <c r="J7" s="45" t="n">
        <f aca="false">IF($A7="","",ROUND(KARYAWAN!$U7*ABSENSI!I7*(F7+G7)/PARAMETER!$C$9*PARAMETER!$C$10,0))</f>
        <v>1656936</v>
      </c>
      <c r="K7" s="45" t="n">
        <f aca="false">IF($A7="","",KARYAWAN!$U7*ABSENSI!J7)</f>
        <v>0</v>
      </c>
      <c r="L7" s="45" t="n">
        <f aca="false">IF($A7="","",ROUND(KARYAWAN!$U7*ABSENSI!H7*F7/PARAMETER!$C$8,0))</f>
        <v>0</v>
      </c>
      <c r="M7" s="45" t="n">
        <f aca="false">IF($A7="","",ROUND(MIN((F7+G7),PARAMETER!$E$24)*PARAMETER!$C$24+MIN((F7+G7),PARAMETER!$E$25)*PARAMETER!$C$25+MIN((F7+G7),PARAMETER!$E$26)*PARAMETER!$C$26,0))</f>
        <v>553710</v>
      </c>
      <c r="N7" s="45" t="n">
        <f aca="false">IF($A7="","",F7+G7+H7+I7+J7+K7-L7+M7)</f>
        <v>16960646</v>
      </c>
      <c r="O7" s="45" t="n">
        <f aca="false">IF($A7="","",X7)</f>
        <v>1187245</v>
      </c>
      <c r="P7" s="45" t="n">
        <f aca="false">IF($A7="","",ROUND(MIN((F7+G7),PARAMETER!$E$22)*PARAMETER!$D$22,0))</f>
        <v>273000</v>
      </c>
      <c r="Q7" s="45" t="n">
        <f aca="false">IF($A7="","",ROUND(MIN((F7+G7),PARAMETER!$E$23)*PARAMETER!$D$23,0))</f>
        <v>105474</v>
      </c>
      <c r="R7" s="45" t="n">
        <f aca="false">IF($A7="","",ROUND(MIN((F7+G7),PARAMETER!$E$26)*PARAMETER!$D$26,0))</f>
        <v>120000</v>
      </c>
      <c r="S7" s="45" t="n">
        <f aca="false">IF($A7="","",KARYAWAN!$U7*ABSENSI!K7)</f>
        <v>250000</v>
      </c>
      <c r="T7" s="46" t="n">
        <f aca="false">IF($A7="","",F7+G7+H7+I7+J7+K7-L7-O7-P7-Q7-R7-S7)</f>
        <v>14471217</v>
      </c>
      <c r="U7" s="45" t="n">
        <f aca="false">IF($A7="","",M7+ROUND(MIN((F7+G7),PARAMETER!$E$22)*PARAMETER!$C$22,0)+ROUND(MIN((F7+G7),PARAMETER!$E$23)*PARAMETER!$C$23,0))</f>
        <v>1269708</v>
      </c>
      <c r="V7" s="47" t="n">
        <f aca="false">IF($A7="","",F7+G7+H7+I7+J7+K7-L7+U7)</f>
        <v>17676644</v>
      </c>
      <c r="W7" s="48" t="n">
        <f aca="false">IF($A7="","",IF(E7="A",INDEX(TARIF_TER!$C$7:$C$50,MATCH(N7,TARIF_TER!$B$7:$B$50,1)),IF(E7="B",INDEX(TARIF_TER!$F$7:$F$46,MATCH(N7,TARIF_TER!$E$7:$E$46,1)),INDEX(TARIF_TER!$I$7:$I$47,MATCH(N7,TARIF_TER!$H$7:$H$47,1)))))</f>
        <v>0.07</v>
      </c>
      <c r="X7" s="45" t="n">
        <f aca="false">IF($A7="","",ROUND(N7*W7,0))</f>
        <v>1187245</v>
      </c>
    </row>
    <row r="8" customFormat="false" ht="15" hidden="false" customHeight="false" outlineLevel="0" collapsed="false">
      <c r="A8" s="40" t="str">
        <f aca="false">IF(KARYAWAN!A8="","",KARYAWAN!A8)</f>
        <v>K-003</v>
      </c>
      <c r="B8" s="40" t="str">
        <f aca="false">IF($A8="","",KARYAWAN!B8)</f>
        <v>Farah Kusuma</v>
      </c>
      <c r="C8" s="40" t="str">
        <f aca="false">IF($A8="","",KARYAWAN!E8)</f>
        <v>Teknologi</v>
      </c>
      <c r="D8" s="39" t="str">
        <f aca="false">IF($A8="","",KARYAWAN!J8)</f>
        <v>TK/0</v>
      </c>
      <c r="E8" s="39" t="str">
        <f aca="false">IF($A8="","",KARYAWAN!T8)</f>
        <v>A</v>
      </c>
      <c r="F8" s="45" t="n">
        <f aca="false">IF($A8="","",KARYAWAN!$U8*KARYAWAN!K8)</f>
        <v>20350000</v>
      </c>
      <c r="G8" s="45" t="n">
        <f aca="false">IF($A8="","",KARYAWAN!$U8*KARYAWAN!L8)</f>
        <v>3400000</v>
      </c>
      <c r="H8" s="45" t="n">
        <f aca="false">IF($A8="","",KARYAWAN!$U8*ABSENSI!D8*PARAMETER!$C$11)</f>
        <v>475000</v>
      </c>
      <c r="I8" s="45" t="n">
        <f aca="false">IF($A8="","",KARYAWAN!$U8*ABSENSI!D8*PARAMETER!$C$12)</f>
        <v>570000</v>
      </c>
      <c r="J8" s="45" t="n">
        <f aca="false">IF($A8="","",ROUND(KARYAWAN!$U8*ABSENSI!I8*(F8+G8)/PARAMETER!$C$9*PARAMETER!$C$10,0))</f>
        <v>0</v>
      </c>
      <c r="K8" s="45" t="n">
        <f aca="false">IF($A8="","",KARYAWAN!$U8*ABSENSI!J8)</f>
        <v>0</v>
      </c>
      <c r="L8" s="45" t="n">
        <f aca="false">IF($A8="","",ROUND(KARYAWAN!$U8*ABSENSI!H8*F8/PARAMETER!$C$8,0))</f>
        <v>0</v>
      </c>
      <c r="M8" s="45" t="n">
        <f aca="false">IF($A8="","",ROUND(MIN((F8+G8),PARAMETER!$E$24)*PARAMETER!$C$24+MIN((F8+G8),PARAMETER!$E$25)*PARAMETER!$C$25+MIN((F8+G8),PARAMETER!$E$26)*PARAMETER!$C$26,0))</f>
        <v>608250</v>
      </c>
      <c r="N8" s="45" t="n">
        <f aca="false">IF($A8="","",F8+G8+H8+I8+J8+K8-L8+M8)</f>
        <v>25403250</v>
      </c>
      <c r="O8" s="45" t="n">
        <f aca="false">IF($A8="","",X8)</f>
        <v>2540325</v>
      </c>
      <c r="P8" s="45" t="n">
        <f aca="false">IF($A8="","",ROUND(MIN((F8+G8),PARAMETER!$E$22)*PARAMETER!$D$22,0))</f>
        <v>475000</v>
      </c>
      <c r="Q8" s="45" t="n">
        <f aca="false">IF($A8="","",ROUND(MIN((F8+G8),PARAMETER!$E$23)*PARAMETER!$D$23,0))</f>
        <v>105474</v>
      </c>
      <c r="R8" s="45" t="n">
        <f aca="false">IF($A8="","",ROUND(MIN((F8+G8),PARAMETER!$E$26)*PARAMETER!$D$26,0))</f>
        <v>120000</v>
      </c>
      <c r="S8" s="45" t="n">
        <f aca="false">IF($A8="","",KARYAWAN!$U8*ABSENSI!K8)</f>
        <v>0</v>
      </c>
      <c r="T8" s="46" t="n">
        <f aca="false">IF($A8="","",F8+G8+H8+I8+J8+K8-L8-O8-P8-Q8-R8-S8)</f>
        <v>21554201</v>
      </c>
      <c r="U8" s="45" t="n">
        <f aca="false">IF($A8="","",M8+ROUND(MIN((F8+G8),PARAMETER!$E$22)*PARAMETER!$C$22,0)+ROUND(MIN((F8+G8),PARAMETER!$E$23)*PARAMETER!$C$23,0))</f>
        <v>1697948</v>
      </c>
      <c r="V8" s="47" t="n">
        <f aca="false">IF($A8="","",F8+G8+H8+I8+J8+K8-L8+U8)</f>
        <v>26492948</v>
      </c>
      <c r="W8" s="48" t="n">
        <f aca="false">IF($A8="","",IF(E8="A",INDEX(TARIF_TER!$C$7:$C$50,MATCH(N8,TARIF_TER!$B$7:$B$50,1)),IF(E8="B",INDEX(TARIF_TER!$F$7:$F$46,MATCH(N8,TARIF_TER!$E$7:$E$46,1)),INDEX(TARIF_TER!$I$7:$I$47,MATCH(N8,TARIF_TER!$H$7:$H$47,1)))))</f>
        <v>0.1</v>
      </c>
      <c r="X8" s="45" t="n">
        <f aca="false">IF($A8="","",ROUND(N8*W8,0))</f>
        <v>2540325</v>
      </c>
    </row>
    <row r="9" customFormat="false" ht="15" hidden="false" customHeight="false" outlineLevel="0" collapsed="false">
      <c r="A9" s="40" t="str">
        <f aca="false">IF(KARYAWAN!A9="","",KARYAWAN!A9)</f>
        <v>K-004</v>
      </c>
      <c r="B9" s="40" t="str">
        <f aca="false">IF($A9="","",KARYAWAN!B9)</f>
        <v>Dimas Nugroho</v>
      </c>
      <c r="C9" s="40" t="str">
        <f aca="false">IF($A9="","",KARYAWAN!E9)</f>
        <v>SDM</v>
      </c>
      <c r="D9" s="39" t="str">
        <f aca="false">IF($A9="","",KARYAWAN!J9)</f>
        <v>K/2</v>
      </c>
      <c r="E9" s="39" t="str">
        <f aca="false">IF($A9="","",KARYAWAN!T9)</f>
        <v>B</v>
      </c>
      <c r="F9" s="45" t="n">
        <f aca="false">IF($A9="","",KARYAWAN!$U9*KARYAWAN!K9)</f>
        <v>5550000</v>
      </c>
      <c r="G9" s="45" t="n">
        <f aca="false">IF($A9="","",KARYAWAN!$U9*KARYAWAN!L9)</f>
        <v>950000</v>
      </c>
      <c r="H9" s="45" t="n">
        <f aca="false">IF($A9="","",KARYAWAN!$U9*ABSENSI!D9*PARAMETER!$C$11)</f>
        <v>475000</v>
      </c>
      <c r="I9" s="45" t="n">
        <f aca="false">IF($A9="","",KARYAWAN!$U9*ABSENSI!D9*PARAMETER!$C$12)</f>
        <v>570000</v>
      </c>
      <c r="J9" s="45" t="n">
        <f aca="false">IF($A9="","",ROUND(KARYAWAN!$U9*ABSENSI!I9*(F9+G9)/PARAMETER!$C$9*PARAMETER!$C$10,0))</f>
        <v>657514</v>
      </c>
      <c r="K9" s="45" t="n">
        <f aca="false">IF($A9="","",KARYAWAN!$U9*ABSENSI!J9)</f>
        <v>0</v>
      </c>
      <c r="L9" s="45" t="n">
        <f aca="false">IF($A9="","",ROUND(KARYAWAN!$U9*ABSENSI!H9*F9/PARAMETER!$C$8,0))</f>
        <v>0</v>
      </c>
      <c r="M9" s="45" t="n">
        <f aca="false">IF($A9="","",ROUND(MIN((F9+G9),PARAMETER!$E$24)*PARAMETER!$C$24+MIN((F9+G9),PARAMETER!$E$25)*PARAMETER!$C$25+MIN((F9+G9),PARAMETER!$E$26)*PARAMETER!$C$26,0))</f>
        <v>295100</v>
      </c>
      <c r="N9" s="45" t="n">
        <f aca="false">IF($A9="","",F9+G9+H9+I9+J9+K9-L9+M9)</f>
        <v>8497614</v>
      </c>
      <c r="O9" s="45" t="n">
        <f aca="false">IF($A9="","",X9)</f>
        <v>84976</v>
      </c>
      <c r="P9" s="45" t="n">
        <f aca="false">IF($A9="","",ROUND(MIN((F9+G9),PARAMETER!$E$22)*PARAMETER!$D$22,0))</f>
        <v>130000</v>
      </c>
      <c r="Q9" s="45" t="n">
        <f aca="false">IF($A9="","",ROUND(MIN((F9+G9),PARAMETER!$E$23)*PARAMETER!$D$23,0))</f>
        <v>65000</v>
      </c>
      <c r="R9" s="45" t="n">
        <f aca="false">IF($A9="","",ROUND(MIN((F9+G9),PARAMETER!$E$26)*PARAMETER!$D$26,0))</f>
        <v>65000</v>
      </c>
      <c r="S9" s="45" t="n">
        <f aca="false">IF($A9="","",KARYAWAN!$U9*ABSENSI!K9)</f>
        <v>250000</v>
      </c>
      <c r="T9" s="46" t="n">
        <f aca="false">IF($A9="","",F9+G9+H9+I9+J9+K9-L9-O9-P9-Q9-R9-S9)</f>
        <v>7607538</v>
      </c>
      <c r="U9" s="45" t="n">
        <f aca="false">IF($A9="","",M9+ROUND(MIN((F9+G9),PARAMETER!$E$22)*PARAMETER!$C$22,0)+ROUND(MIN((F9+G9),PARAMETER!$E$23)*PARAMETER!$C$23,0))</f>
        <v>665600</v>
      </c>
      <c r="V9" s="47" t="n">
        <f aca="false">IF($A9="","",F9+G9+H9+I9+J9+K9-L9+U9)</f>
        <v>8868114</v>
      </c>
      <c r="W9" s="48" t="n">
        <f aca="false">IF($A9="","",IF(E9="A",INDEX(TARIF_TER!$C$7:$C$50,MATCH(N9,TARIF_TER!$B$7:$B$50,1)),IF(E9="B",INDEX(TARIF_TER!$F$7:$F$46,MATCH(N9,TARIF_TER!$E$7:$E$46,1)),INDEX(TARIF_TER!$I$7:$I$47,MATCH(N9,TARIF_TER!$H$7:$H$47,1)))))</f>
        <v>0.01</v>
      </c>
      <c r="X9" s="45" t="n">
        <f aca="false">IF($A9="","",ROUND(N9*W9,0))</f>
        <v>84976</v>
      </c>
    </row>
    <row r="10" customFormat="false" ht="15" hidden="false" customHeight="false" outlineLevel="0" collapsed="false">
      <c r="A10" s="40" t="str">
        <f aca="false">IF(KARYAWAN!A10="","",KARYAWAN!A10)</f>
        <v>K-005</v>
      </c>
      <c r="B10" s="40" t="str">
        <f aca="false">IF($A10="","",KARYAWAN!B10)</f>
        <v>Dimas Pratama</v>
      </c>
      <c r="C10" s="40" t="str">
        <f aca="false">IF($A10="","",KARYAWAN!E10)</f>
        <v>Teknologi</v>
      </c>
      <c r="D10" s="39" t="str">
        <f aca="false">IF($A10="","",KARYAWAN!J10)</f>
        <v>K/1</v>
      </c>
      <c r="E10" s="39" t="str">
        <f aca="false">IF($A10="","",KARYAWAN!T10)</f>
        <v>B</v>
      </c>
      <c r="F10" s="45" t="n">
        <f aca="false">IF($A10="","",KARYAWAN!$U10*KARYAWAN!K10)</f>
        <v>7100000</v>
      </c>
      <c r="G10" s="45" t="n">
        <f aca="false">IF($A10="","",KARYAWAN!$U10*KARYAWAN!L10)</f>
        <v>650000</v>
      </c>
      <c r="H10" s="45" t="n">
        <f aca="false">IF($A10="","",KARYAWAN!$U10*ABSENSI!D10*PARAMETER!$C$11)</f>
        <v>525000</v>
      </c>
      <c r="I10" s="45" t="n">
        <f aca="false">IF($A10="","",KARYAWAN!$U10*ABSENSI!D10*PARAMETER!$C$12)</f>
        <v>630000</v>
      </c>
      <c r="J10" s="45" t="n">
        <f aca="false">IF($A10="","",ROUND(KARYAWAN!$U10*ABSENSI!I10*(F10+G10)/PARAMETER!$C$9*PARAMETER!$C$10,0))</f>
        <v>940751</v>
      </c>
      <c r="K10" s="45" t="n">
        <f aca="false">IF($A10="","",KARYAWAN!$U10*ABSENSI!J10)</f>
        <v>0</v>
      </c>
      <c r="L10" s="45" t="n">
        <f aca="false">IF($A10="","",ROUND(KARYAWAN!$U10*ABSENSI!H10*F10/PARAMETER!$C$8,0))</f>
        <v>0</v>
      </c>
      <c r="M10" s="45" t="n">
        <f aca="false">IF($A10="","",ROUND(MIN((F10+G10),PARAMETER!$E$24)*PARAMETER!$C$24+MIN((F10+G10),PARAMETER!$E$25)*PARAMETER!$C$25+MIN((F10+G10),PARAMETER!$E$26)*PARAMETER!$C$26,0))</f>
        <v>351850</v>
      </c>
      <c r="N10" s="45" t="n">
        <f aca="false">IF($A10="","",F10+G10+H10+I10+J10+K10-L10+M10)</f>
        <v>10197601</v>
      </c>
      <c r="O10" s="45" t="n">
        <f aca="false">IF($A10="","",X10)</f>
        <v>152964</v>
      </c>
      <c r="P10" s="45" t="n">
        <f aca="false">IF($A10="","",ROUND(MIN((F10+G10),PARAMETER!$E$22)*PARAMETER!$D$22,0))</f>
        <v>155000</v>
      </c>
      <c r="Q10" s="45" t="n">
        <f aca="false">IF($A10="","",ROUND(MIN((F10+G10),PARAMETER!$E$23)*PARAMETER!$D$23,0))</f>
        <v>77500</v>
      </c>
      <c r="R10" s="45" t="n">
        <f aca="false">IF($A10="","",ROUND(MIN((F10+G10),PARAMETER!$E$26)*PARAMETER!$D$26,0))</f>
        <v>77500</v>
      </c>
      <c r="S10" s="45" t="n">
        <f aca="false">IF($A10="","",KARYAWAN!$U10*ABSENSI!K10)</f>
        <v>500000</v>
      </c>
      <c r="T10" s="46" t="n">
        <f aca="false">IF($A10="","",F10+G10+H10+I10+J10+K10-L10-O10-P10-Q10-R10-S10)</f>
        <v>8882787</v>
      </c>
      <c r="U10" s="45" t="n">
        <f aca="false">IF($A10="","",M10+ROUND(MIN((F10+G10),PARAMETER!$E$22)*PARAMETER!$C$22,0)+ROUND(MIN((F10+G10),PARAMETER!$E$23)*PARAMETER!$C$23,0))</f>
        <v>793600</v>
      </c>
      <c r="V10" s="47" t="n">
        <f aca="false">IF($A10="","",F10+G10+H10+I10+J10+K10-L10+U10)</f>
        <v>10639351</v>
      </c>
      <c r="W10" s="48" t="n">
        <f aca="false">IF($A10="","",IF(E10="A",INDEX(TARIF_TER!$C$7:$C$50,MATCH(N10,TARIF_TER!$B$7:$B$50,1)),IF(E10="B",INDEX(TARIF_TER!$F$7:$F$46,MATCH(N10,TARIF_TER!$E$7:$E$46,1)),INDEX(TARIF_TER!$I$7:$I$47,MATCH(N10,TARIF_TER!$H$7:$H$47,1)))))</f>
        <v>0.015</v>
      </c>
      <c r="X10" s="45" t="n">
        <f aca="false">IF($A10="","",ROUND(N10*W10,0))</f>
        <v>152964</v>
      </c>
    </row>
    <row r="11" customFormat="false" ht="15" hidden="false" customHeight="false" outlineLevel="0" collapsed="false">
      <c r="A11" s="40" t="str">
        <f aca="false">IF(KARYAWAN!A11="","",KARYAWAN!A11)</f>
        <v>K-006</v>
      </c>
      <c r="B11" s="40" t="str">
        <f aca="false">IF($A11="","",KARYAWAN!B11)</f>
        <v>Nadia Pratama</v>
      </c>
      <c r="C11" s="40" t="str">
        <f aca="false">IF($A11="","",KARYAWAN!E11)</f>
        <v>SDM</v>
      </c>
      <c r="D11" s="39" t="str">
        <f aca="false">IF($A11="","",KARYAWAN!J11)</f>
        <v>K/0</v>
      </c>
      <c r="E11" s="39" t="str">
        <f aca="false">IF($A11="","",KARYAWAN!T11)</f>
        <v>A</v>
      </c>
      <c r="F11" s="45" t="n">
        <f aca="false">IF($A11="","",KARYAWAN!$U11*KARYAWAN!K11)</f>
        <v>7150000</v>
      </c>
      <c r="G11" s="45" t="n">
        <f aca="false">IF($A11="","",KARYAWAN!$U11*KARYAWAN!L11)</f>
        <v>1050000</v>
      </c>
      <c r="H11" s="45" t="n">
        <f aca="false">IF($A11="","",KARYAWAN!$U11*ABSENSI!D11*PARAMETER!$C$11)</f>
        <v>550000</v>
      </c>
      <c r="I11" s="45" t="n">
        <f aca="false">IF($A11="","",KARYAWAN!$U11*ABSENSI!D11*PARAMETER!$C$12)</f>
        <v>660000</v>
      </c>
      <c r="J11" s="45" t="n">
        <f aca="false">IF($A11="","",ROUND(KARYAWAN!$U11*ABSENSI!I11*(F11+G11)/PARAMETER!$C$9*PARAMETER!$C$10,0))</f>
        <v>0</v>
      </c>
      <c r="K11" s="45" t="n">
        <f aca="false">IF($A11="","",KARYAWAN!$U11*ABSENSI!J11)</f>
        <v>0</v>
      </c>
      <c r="L11" s="45" t="n">
        <f aca="false">IF($A11="","",ROUND(KARYAWAN!$U11*ABSENSI!H11*F11/PARAMETER!$C$8,0))</f>
        <v>0</v>
      </c>
      <c r="M11" s="45" t="n">
        <f aca="false">IF($A11="","",ROUND(MIN((F11+G11),PARAMETER!$E$24)*PARAMETER!$C$24+MIN((F11+G11),PARAMETER!$E$25)*PARAMETER!$C$25+MIN((F11+G11),PARAMETER!$E$26)*PARAMETER!$C$26,0))</f>
        <v>372280</v>
      </c>
      <c r="N11" s="45" t="n">
        <f aca="false">IF($A11="","",F11+G11+H11+I11+J11+K11-L11+M11)</f>
        <v>9782280</v>
      </c>
      <c r="O11" s="45" t="n">
        <f aca="false">IF($A11="","",X11)</f>
        <v>195646</v>
      </c>
      <c r="P11" s="45" t="n">
        <f aca="false">IF($A11="","",ROUND(MIN((F11+G11),PARAMETER!$E$22)*PARAMETER!$D$22,0))</f>
        <v>164000</v>
      </c>
      <c r="Q11" s="45" t="n">
        <f aca="false">IF($A11="","",ROUND(MIN((F11+G11),PARAMETER!$E$23)*PARAMETER!$D$23,0))</f>
        <v>82000</v>
      </c>
      <c r="R11" s="45" t="n">
        <f aca="false">IF($A11="","",ROUND(MIN((F11+G11),PARAMETER!$E$26)*PARAMETER!$D$26,0))</f>
        <v>82000</v>
      </c>
      <c r="S11" s="45" t="n">
        <f aca="false">IF($A11="","",KARYAWAN!$U11*ABSENSI!K11)</f>
        <v>0</v>
      </c>
      <c r="T11" s="46" t="n">
        <f aca="false">IF($A11="","",F11+G11+H11+I11+J11+K11-L11-O11-P11-Q11-R11-S11)</f>
        <v>8886354</v>
      </c>
      <c r="U11" s="45" t="n">
        <f aca="false">IF($A11="","",M11+ROUND(MIN((F11+G11),PARAMETER!$E$22)*PARAMETER!$C$22,0)+ROUND(MIN((F11+G11),PARAMETER!$E$23)*PARAMETER!$C$23,0))</f>
        <v>839680</v>
      </c>
      <c r="V11" s="47" t="n">
        <f aca="false">IF($A11="","",F11+G11+H11+I11+J11+K11-L11+U11)</f>
        <v>10249680</v>
      </c>
      <c r="W11" s="48" t="n">
        <f aca="false">IF($A11="","",IF(E11="A",INDEX(TARIF_TER!$C$7:$C$50,MATCH(N11,TARIF_TER!$B$7:$B$50,1)),IF(E11="B",INDEX(TARIF_TER!$F$7:$F$46,MATCH(N11,TARIF_TER!$E$7:$E$46,1)),INDEX(TARIF_TER!$I$7:$I$47,MATCH(N11,TARIF_TER!$H$7:$H$47,1)))))</f>
        <v>0.02</v>
      </c>
      <c r="X11" s="45" t="n">
        <f aca="false">IF($A11="","",ROUND(N11*W11,0))</f>
        <v>195646</v>
      </c>
    </row>
    <row r="12" customFormat="false" ht="15" hidden="false" customHeight="false" outlineLevel="0" collapsed="false">
      <c r="A12" s="40" t="str">
        <f aca="false">IF(KARYAWAN!A12="","",KARYAWAN!A12)</f>
        <v>K-007</v>
      </c>
      <c r="B12" s="40" t="str">
        <f aca="false">IF($A12="","",KARYAWAN!B12)</f>
        <v>Wahyu Hidayat</v>
      </c>
      <c r="C12" s="40" t="str">
        <f aca="false">IF($A12="","",KARYAWAN!E12)</f>
        <v>SDM</v>
      </c>
      <c r="D12" s="39" t="str">
        <f aca="false">IF($A12="","",KARYAWAN!J12)</f>
        <v>K/1</v>
      </c>
      <c r="E12" s="39" t="str">
        <f aca="false">IF($A12="","",KARYAWAN!T12)</f>
        <v>B</v>
      </c>
      <c r="F12" s="45" t="n">
        <f aca="false">IF($A12="","",KARYAWAN!$U12*KARYAWAN!K12)</f>
        <v>10700000</v>
      </c>
      <c r="G12" s="45" t="n">
        <f aca="false">IF($A12="","",KARYAWAN!$U12*KARYAWAN!L12)</f>
        <v>1400000</v>
      </c>
      <c r="H12" s="45" t="n">
        <f aca="false">IF($A12="","",KARYAWAN!$U12*ABSENSI!D12*PARAMETER!$C$11)</f>
        <v>550000</v>
      </c>
      <c r="I12" s="45" t="n">
        <f aca="false">IF($A12="","",KARYAWAN!$U12*ABSENSI!D12*PARAMETER!$C$12)</f>
        <v>660000</v>
      </c>
      <c r="J12" s="45" t="n">
        <f aca="false">IF($A12="","",ROUND(KARYAWAN!$U12*ABSENSI!I12*(F12+G12)/PARAMETER!$C$9*PARAMETER!$C$10,0))</f>
        <v>979191</v>
      </c>
      <c r="K12" s="45" t="n">
        <f aca="false">IF($A12="","",KARYAWAN!$U12*ABSENSI!J12)</f>
        <v>0</v>
      </c>
      <c r="L12" s="45" t="n">
        <f aca="false">IF($A12="","",ROUND(KARYAWAN!$U12*ABSENSI!H12*F12/PARAMETER!$C$8,0))</f>
        <v>0</v>
      </c>
      <c r="M12" s="45" t="n">
        <f aca="false">IF($A12="","",ROUND(MIN((F12+G12),PARAMETER!$E$24)*PARAMETER!$C$24+MIN((F12+G12),PARAMETER!$E$25)*PARAMETER!$C$25+MIN((F12+G12),PARAMETER!$E$26)*PARAMETER!$C$26,0))</f>
        <v>545340</v>
      </c>
      <c r="N12" s="45" t="n">
        <f aca="false">IF($A12="","",F12+G12+H12+I12+J12+K12-L12+M12)</f>
        <v>14834531</v>
      </c>
      <c r="O12" s="45" t="n">
        <f aca="false">IF($A12="","",X12)</f>
        <v>741727</v>
      </c>
      <c r="P12" s="45" t="n">
        <f aca="false">IF($A12="","",ROUND(MIN((F12+G12),PARAMETER!$E$22)*PARAMETER!$D$22,0))</f>
        <v>242000</v>
      </c>
      <c r="Q12" s="45" t="n">
        <f aca="false">IF($A12="","",ROUND(MIN((F12+G12),PARAMETER!$E$23)*PARAMETER!$D$23,0))</f>
        <v>105474</v>
      </c>
      <c r="R12" s="45" t="n">
        <f aca="false">IF($A12="","",ROUND(MIN((F12+G12),PARAMETER!$E$26)*PARAMETER!$D$26,0))</f>
        <v>120000</v>
      </c>
      <c r="S12" s="45" t="n">
        <f aca="false">IF($A12="","",KARYAWAN!$U12*ABSENSI!K12)</f>
        <v>0</v>
      </c>
      <c r="T12" s="46" t="n">
        <f aca="false">IF($A12="","",F12+G12+H12+I12+J12+K12-L12-O12-P12-Q12-R12-S12)</f>
        <v>13079990</v>
      </c>
      <c r="U12" s="45" t="n">
        <f aca="false">IF($A12="","",M12+ROUND(MIN((F12+G12),PARAMETER!$E$22)*PARAMETER!$C$22,0)+ROUND(MIN((F12+G12),PARAMETER!$E$23)*PARAMETER!$C$23,0))</f>
        <v>1203988</v>
      </c>
      <c r="V12" s="47" t="n">
        <f aca="false">IF($A12="","",F12+G12+H12+I12+J12+K12-L12+U12)</f>
        <v>15493179</v>
      </c>
      <c r="W12" s="48" t="n">
        <f aca="false">IF($A12="","",IF(E12="A",INDEX(TARIF_TER!$C$7:$C$50,MATCH(N12,TARIF_TER!$B$7:$B$50,1)),IF(E12="B",INDEX(TARIF_TER!$F$7:$F$46,MATCH(N12,TARIF_TER!$E$7:$E$46,1)),INDEX(TARIF_TER!$I$7:$I$47,MATCH(N12,TARIF_TER!$H$7:$H$47,1)))))</f>
        <v>0.05</v>
      </c>
      <c r="X12" s="45" t="n">
        <f aca="false">IF($A12="","",ROUND(N12*W12,0))</f>
        <v>741727</v>
      </c>
    </row>
    <row r="13" customFormat="false" ht="15" hidden="false" customHeight="false" outlineLevel="0" collapsed="false">
      <c r="A13" s="40" t="str">
        <f aca="false">IF(KARYAWAN!A13="","",KARYAWAN!A13)</f>
        <v>K-008</v>
      </c>
      <c r="B13" s="40" t="str">
        <f aca="false">IF($A13="","",KARYAWAN!B13)</f>
        <v>Fajar Firmansyah</v>
      </c>
      <c r="C13" s="40" t="str">
        <f aca="false">IF($A13="","",KARYAWAN!E13)</f>
        <v>Teknologi</v>
      </c>
      <c r="D13" s="39" t="str">
        <f aca="false">IF($A13="","",KARYAWAN!J13)</f>
        <v>TK/0</v>
      </c>
      <c r="E13" s="39" t="str">
        <f aca="false">IF($A13="","",KARYAWAN!T13)</f>
        <v>A</v>
      </c>
      <c r="F13" s="45" t="n">
        <f aca="false">IF($A13="","",KARYAWAN!$U13*KARYAWAN!K13)</f>
        <v>0</v>
      </c>
      <c r="G13" s="45" t="n">
        <f aca="false">IF($A13="","",KARYAWAN!$U13*KARYAWAN!L13)</f>
        <v>0</v>
      </c>
      <c r="H13" s="45" t="n">
        <f aca="false">IF($A13="","",KARYAWAN!$U13*ABSENSI!D13*PARAMETER!$C$11)</f>
        <v>0</v>
      </c>
      <c r="I13" s="45" t="n">
        <f aca="false">IF($A13="","",KARYAWAN!$U13*ABSENSI!D13*PARAMETER!$C$12)</f>
        <v>0</v>
      </c>
      <c r="J13" s="45" t="n">
        <f aca="false">IF($A13="","",ROUND(KARYAWAN!$U13*ABSENSI!I13*(F13+G13)/PARAMETER!$C$9*PARAMETER!$C$10,0))</f>
        <v>0</v>
      </c>
      <c r="K13" s="45" t="n">
        <f aca="false">IF($A13="","",KARYAWAN!$U13*ABSENSI!J13)</f>
        <v>0</v>
      </c>
      <c r="L13" s="45" t="n">
        <f aca="false">IF($A13="","",ROUND(KARYAWAN!$U13*ABSENSI!H13*F13/PARAMETER!$C$8,0))</f>
        <v>0</v>
      </c>
      <c r="M13" s="45" t="n">
        <f aca="false">IF($A13="","",ROUND(MIN((F13+G13),PARAMETER!$E$24)*PARAMETER!$C$24+MIN((F13+G13),PARAMETER!$E$25)*PARAMETER!$C$25+MIN((F13+G13),PARAMETER!$E$26)*PARAMETER!$C$26,0))</f>
        <v>0</v>
      </c>
      <c r="N13" s="45" t="n">
        <f aca="false">IF($A13="","",F13+G13+H13+I13+J13+K13-L13+M13)</f>
        <v>0</v>
      </c>
      <c r="O13" s="45" t="n">
        <f aca="false">IF($A13="","",X13)</f>
        <v>0</v>
      </c>
      <c r="P13" s="45" t="n">
        <f aca="false">IF($A13="","",ROUND(MIN((F13+G13),PARAMETER!$E$22)*PARAMETER!$D$22,0))</f>
        <v>0</v>
      </c>
      <c r="Q13" s="45" t="n">
        <f aca="false">IF($A13="","",ROUND(MIN((F13+G13),PARAMETER!$E$23)*PARAMETER!$D$23,0))</f>
        <v>0</v>
      </c>
      <c r="R13" s="45" t="n">
        <f aca="false">IF($A13="","",ROUND(MIN((F13+G13),PARAMETER!$E$26)*PARAMETER!$D$26,0))</f>
        <v>0</v>
      </c>
      <c r="S13" s="45" t="n">
        <f aca="false">IF($A13="","",KARYAWAN!$U13*ABSENSI!K13)</f>
        <v>0</v>
      </c>
      <c r="T13" s="46" t="n">
        <f aca="false">IF($A13="","",F13+G13+H13+I13+J13+K13-L13-O13-P13-Q13-R13-S13)</f>
        <v>0</v>
      </c>
      <c r="U13" s="45" t="n">
        <f aca="false">IF($A13="","",M13+ROUND(MIN((F13+G13),PARAMETER!$E$22)*PARAMETER!$C$22,0)+ROUND(MIN((F13+G13),PARAMETER!$E$23)*PARAMETER!$C$23,0))</f>
        <v>0</v>
      </c>
      <c r="V13" s="47" t="n">
        <f aca="false">IF($A13="","",F13+G13+H13+I13+J13+K13-L13+U13)</f>
        <v>0</v>
      </c>
      <c r="W13" s="48" t="n">
        <f aca="false">IF($A13="","",IF(E13="A",INDEX(TARIF_TER!$C$7:$C$50,MATCH(N13,TARIF_TER!$B$7:$B$50,1)),IF(E13="B",INDEX(TARIF_TER!$F$7:$F$46,MATCH(N13,TARIF_TER!$E$7:$E$46,1)),INDEX(TARIF_TER!$I$7:$I$47,MATCH(N13,TARIF_TER!$H$7:$H$47,1)))))</f>
        <v>0</v>
      </c>
      <c r="X13" s="45" t="n">
        <f aca="false">IF($A13="","",ROUND(N13*W13,0))</f>
        <v>0</v>
      </c>
    </row>
    <row r="14" customFormat="false" ht="15" hidden="false" customHeight="false" outlineLevel="0" collapsed="false">
      <c r="A14" s="40" t="str">
        <f aca="false">IF(KARYAWAN!A14="","",KARYAWAN!A14)</f>
        <v>K-009</v>
      </c>
      <c r="B14" s="40" t="str">
        <f aca="false">IF($A14="","",KARYAWAN!B14)</f>
        <v>Vero Lestari</v>
      </c>
      <c r="C14" s="40" t="str">
        <f aca="false">IF($A14="","",KARYAWAN!E14)</f>
        <v>Teknologi</v>
      </c>
      <c r="D14" s="39" t="str">
        <f aca="false">IF($A14="","",KARYAWAN!J14)</f>
        <v>TK/2</v>
      </c>
      <c r="E14" s="39" t="str">
        <f aca="false">IF($A14="","",KARYAWAN!T14)</f>
        <v>B</v>
      </c>
      <c r="F14" s="45" t="n">
        <f aca="false">IF($A14="","",KARYAWAN!$U14*KARYAWAN!K14)</f>
        <v>10100000</v>
      </c>
      <c r="G14" s="45" t="n">
        <f aca="false">IF($A14="","",KARYAWAN!$U14*KARYAWAN!L14)</f>
        <v>850000</v>
      </c>
      <c r="H14" s="45" t="n">
        <f aca="false">IF($A14="","",KARYAWAN!$U14*ABSENSI!D14*PARAMETER!$C$11)</f>
        <v>500000</v>
      </c>
      <c r="I14" s="45" t="n">
        <f aca="false">IF($A14="","",KARYAWAN!$U14*ABSENSI!D14*PARAMETER!$C$12)</f>
        <v>600000</v>
      </c>
      <c r="J14" s="45" t="n">
        <f aca="false">IF($A14="","",ROUND(KARYAWAN!$U14*ABSENSI!I14*(F14+G14)/PARAMETER!$C$9*PARAMETER!$C$10,0))</f>
        <v>443064</v>
      </c>
      <c r="K14" s="45" t="n">
        <f aca="false">IF($A14="","",KARYAWAN!$U14*ABSENSI!J14)</f>
        <v>0</v>
      </c>
      <c r="L14" s="45" t="n">
        <f aca="false">IF($A14="","",ROUND(KARYAWAN!$U14*ABSENSI!H14*F14/PARAMETER!$C$8,0))</f>
        <v>0</v>
      </c>
      <c r="M14" s="45" t="n">
        <f aca="false">IF($A14="","",ROUND(MIN((F14+G14),PARAMETER!$E$24)*PARAMETER!$C$24+MIN((F14+G14),PARAMETER!$E$25)*PARAMETER!$C$25+MIN((F14+G14),PARAMETER!$E$26)*PARAMETER!$C$26,0))</f>
        <v>497130</v>
      </c>
      <c r="N14" s="45" t="n">
        <f aca="false">IF($A14="","",F14+G14+H14+I14+J14+K14-L14+M14)</f>
        <v>12990194</v>
      </c>
      <c r="O14" s="45" t="n">
        <f aca="false">IF($A14="","",X14)</f>
        <v>519608</v>
      </c>
      <c r="P14" s="45" t="n">
        <f aca="false">IF($A14="","",ROUND(MIN((F14+G14),PARAMETER!$E$22)*PARAMETER!$D$22,0))</f>
        <v>219000</v>
      </c>
      <c r="Q14" s="45" t="n">
        <f aca="false">IF($A14="","",ROUND(MIN((F14+G14),PARAMETER!$E$23)*PARAMETER!$D$23,0))</f>
        <v>105474</v>
      </c>
      <c r="R14" s="45" t="n">
        <f aca="false">IF($A14="","",ROUND(MIN((F14+G14),PARAMETER!$E$26)*PARAMETER!$D$26,0))</f>
        <v>109500</v>
      </c>
      <c r="S14" s="45" t="n">
        <f aca="false">IF($A14="","",KARYAWAN!$U14*ABSENSI!K14)</f>
        <v>0</v>
      </c>
      <c r="T14" s="46" t="n">
        <f aca="false">IF($A14="","",F14+G14+H14+I14+J14+K14-L14-O14-P14-Q14-R14-S14)</f>
        <v>11539482</v>
      </c>
      <c r="U14" s="45" t="n">
        <f aca="false">IF($A14="","",M14+ROUND(MIN((F14+G14),PARAMETER!$E$22)*PARAMETER!$C$22,0)+ROUND(MIN((F14+G14),PARAMETER!$E$23)*PARAMETER!$C$23,0))</f>
        <v>1113228</v>
      </c>
      <c r="V14" s="47" t="n">
        <f aca="false">IF($A14="","",F14+G14+H14+I14+J14+K14-L14+U14)</f>
        <v>13606292</v>
      </c>
      <c r="W14" s="48" t="n">
        <f aca="false">IF($A14="","",IF(E14="A",INDEX(TARIF_TER!$C$7:$C$50,MATCH(N14,TARIF_TER!$B$7:$B$50,1)),IF(E14="B",INDEX(TARIF_TER!$F$7:$F$46,MATCH(N14,TARIF_TER!$E$7:$E$46,1)),INDEX(TARIF_TER!$I$7:$I$47,MATCH(N14,TARIF_TER!$H$7:$H$47,1)))))</f>
        <v>0.04</v>
      </c>
      <c r="X14" s="45" t="n">
        <f aca="false">IF($A14="","",ROUND(N14*W14,0))</f>
        <v>519608</v>
      </c>
    </row>
    <row r="15" customFormat="false" ht="15" hidden="false" customHeight="false" outlineLevel="0" collapsed="false">
      <c r="A15" s="40" t="str">
        <f aca="false">IF(KARYAWAN!A15="","",KARYAWAN!A15)</f>
        <v>K-010</v>
      </c>
      <c r="B15" s="40" t="str">
        <f aca="false">IF($A15="","",KARYAWAN!B15)</f>
        <v>Tegar Santoso</v>
      </c>
      <c r="C15" s="40" t="str">
        <f aca="false">IF($A15="","",KARYAWAN!E15)</f>
        <v>Operasional</v>
      </c>
      <c r="D15" s="39" t="str">
        <f aca="false">IF($A15="","",KARYAWAN!J15)</f>
        <v>TK/2</v>
      </c>
      <c r="E15" s="39" t="str">
        <f aca="false">IF($A15="","",KARYAWAN!T15)</f>
        <v>B</v>
      </c>
      <c r="F15" s="45" t="n">
        <f aca="false">IF($A15="","",KARYAWAN!$U15*KARYAWAN!K15)</f>
        <v>9250000</v>
      </c>
      <c r="G15" s="45" t="n">
        <f aca="false">IF($A15="","",KARYAWAN!$U15*KARYAWAN!L15)</f>
        <v>1600000</v>
      </c>
      <c r="H15" s="45" t="n">
        <f aca="false">IF($A15="","",KARYAWAN!$U15*ABSENSI!D15*PARAMETER!$C$11)</f>
        <v>525000</v>
      </c>
      <c r="I15" s="45" t="n">
        <f aca="false">IF($A15="","",KARYAWAN!$U15*ABSENSI!D15*PARAMETER!$C$12)</f>
        <v>630000</v>
      </c>
      <c r="J15" s="45" t="n">
        <f aca="false">IF($A15="","",ROUND(KARYAWAN!$U15*ABSENSI!I15*(F15+G15)/PARAMETER!$C$9*PARAMETER!$C$10,0))</f>
        <v>439017</v>
      </c>
      <c r="K15" s="45" t="n">
        <f aca="false">IF($A15="","",KARYAWAN!$U15*ABSENSI!J15)</f>
        <v>0</v>
      </c>
      <c r="L15" s="45" t="n">
        <f aca="false">IF($A15="","",ROUND(KARYAWAN!$U15*ABSENSI!H15*F15/PARAMETER!$C$8,0))</f>
        <v>0</v>
      </c>
      <c r="M15" s="45" t="n">
        <f aca="false">IF($A15="","",ROUND(MIN((F15+G15),PARAMETER!$E$24)*PARAMETER!$C$24+MIN((F15+G15),PARAMETER!$E$25)*PARAMETER!$C$25+MIN((F15+G15),PARAMETER!$E$26)*PARAMETER!$C$26,0))</f>
        <v>492590</v>
      </c>
      <c r="N15" s="45" t="n">
        <f aca="false">IF($A15="","",F15+G15+H15+I15+J15+K15-L15+M15)</f>
        <v>12936607</v>
      </c>
      <c r="O15" s="45" t="n">
        <f aca="false">IF($A15="","",X15)</f>
        <v>517464</v>
      </c>
      <c r="P15" s="45" t="n">
        <f aca="false">IF($A15="","",ROUND(MIN((F15+G15),PARAMETER!$E$22)*PARAMETER!$D$22,0))</f>
        <v>217000</v>
      </c>
      <c r="Q15" s="45" t="n">
        <f aca="false">IF($A15="","",ROUND(MIN((F15+G15),PARAMETER!$E$23)*PARAMETER!$D$23,0))</f>
        <v>105474</v>
      </c>
      <c r="R15" s="45" t="n">
        <f aca="false">IF($A15="","",ROUND(MIN((F15+G15),PARAMETER!$E$26)*PARAMETER!$D$26,0))</f>
        <v>108500</v>
      </c>
      <c r="S15" s="45" t="n">
        <f aca="false">IF($A15="","",KARYAWAN!$U15*ABSENSI!K15)</f>
        <v>0</v>
      </c>
      <c r="T15" s="46" t="n">
        <f aca="false">IF($A15="","",F15+G15+H15+I15+J15+K15-L15-O15-P15-Q15-R15-S15)</f>
        <v>11495579</v>
      </c>
      <c r="U15" s="45" t="n">
        <f aca="false">IF($A15="","",M15+ROUND(MIN((F15+G15),PARAMETER!$E$22)*PARAMETER!$C$22,0)+ROUND(MIN((F15+G15),PARAMETER!$E$23)*PARAMETER!$C$23,0))</f>
        <v>1104988</v>
      </c>
      <c r="V15" s="47" t="n">
        <f aca="false">IF($A15="","",F15+G15+H15+I15+J15+K15-L15+U15)</f>
        <v>13549005</v>
      </c>
      <c r="W15" s="48" t="n">
        <f aca="false">IF($A15="","",IF(E15="A",INDEX(TARIF_TER!$C$7:$C$50,MATCH(N15,TARIF_TER!$B$7:$B$50,1)),IF(E15="B",INDEX(TARIF_TER!$F$7:$F$46,MATCH(N15,TARIF_TER!$E$7:$E$46,1)),INDEX(TARIF_TER!$I$7:$I$47,MATCH(N15,TARIF_TER!$H$7:$H$47,1)))))</f>
        <v>0.04</v>
      </c>
      <c r="X15" s="45" t="n">
        <f aca="false">IF($A15="","",ROUND(N15*W15,0))</f>
        <v>517464</v>
      </c>
    </row>
    <row r="16" customFormat="false" ht="15" hidden="false" customHeight="false" outlineLevel="0" collapsed="false">
      <c r="A16" s="40" t="str">
        <f aca="false">IF(KARYAWAN!A16="","",KARYAWAN!A16)</f>
        <v>K-011</v>
      </c>
      <c r="B16" s="40" t="str">
        <f aca="false">IF($A16="","",KARYAWAN!B16)</f>
        <v>Tegar Pratama</v>
      </c>
      <c r="C16" s="40" t="str">
        <f aca="false">IF($A16="","",KARYAWAN!E16)</f>
        <v>Keuangan</v>
      </c>
      <c r="D16" s="39" t="str">
        <f aca="false">IF($A16="","",KARYAWAN!J16)</f>
        <v>TK/0</v>
      </c>
      <c r="E16" s="39" t="str">
        <f aca="false">IF($A16="","",KARYAWAN!T16)</f>
        <v>A</v>
      </c>
      <c r="F16" s="45" t="n">
        <f aca="false">IF($A16="","",KARYAWAN!$U16*KARYAWAN!K16)</f>
        <v>8050000</v>
      </c>
      <c r="G16" s="45" t="n">
        <f aca="false">IF($A16="","",KARYAWAN!$U16*KARYAWAN!L16)</f>
        <v>800000</v>
      </c>
      <c r="H16" s="45" t="n">
        <f aca="false">IF($A16="","",KARYAWAN!$U16*ABSENSI!D16*PARAMETER!$C$11)</f>
        <v>525000</v>
      </c>
      <c r="I16" s="45" t="n">
        <f aca="false">IF($A16="","",KARYAWAN!$U16*ABSENSI!D16*PARAMETER!$C$12)</f>
        <v>630000</v>
      </c>
      <c r="J16" s="45" t="n">
        <f aca="false">IF($A16="","",ROUND(KARYAWAN!$U16*ABSENSI!I16*(F16+G16)/PARAMETER!$C$9*PARAMETER!$C$10,0))</f>
        <v>0</v>
      </c>
      <c r="K16" s="45" t="n">
        <f aca="false">IF($A16="","",KARYAWAN!$U16*ABSENSI!J16)</f>
        <v>0</v>
      </c>
      <c r="L16" s="45" t="n">
        <f aca="false">IF($A16="","",ROUND(KARYAWAN!$U16*ABSENSI!H16*F16/PARAMETER!$C$8,0))</f>
        <v>0</v>
      </c>
      <c r="M16" s="45" t="n">
        <f aca="false">IF($A16="","",ROUND(MIN((F16+G16),PARAMETER!$E$24)*PARAMETER!$C$24+MIN((F16+G16),PARAMETER!$E$25)*PARAMETER!$C$25+MIN((F16+G16),PARAMETER!$E$26)*PARAMETER!$C$26,0))</f>
        <v>401790</v>
      </c>
      <c r="N16" s="45" t="n">
        <f aca="false">IF($A16="","",F16+G16+H16+I16+J16+K16-L16+M16)</f>
        <v>10406790</v>
      </c>
      <c r="O16" s="45" t="n">
        <f aca="false">IF($A16="","",X16)</f>
        <v>260170</v>
      </c>
      <c r="P16" s="45" t="n">
        <f aca="false">IF($A16="","",ROUND(MIN((F16+G16),PARAMETER!$E$22)*PARAMETER!$D$22,0))</f>
        <v>177000</v>
      </c>
      <c r="Q16" s="45" t="n">
        <f aca="false">IF($A16="","",ROUND(MIN((F16+G16),PARAMETER!$E$23)*PARAMETER!$D$23,0))</f>
        <v>88500</v>
      </c>
      <c r="R16" s="45" t="n">
        <f aca="false">IF($A16="","",ROUND(MIN((F16+G16),PARAMETER!$E$26)*PARAMETER!$D$26,0))</f>
        <v>88500</v>
      </c>
      <c r="S16" s="45" t="n">
        <f aca="false">IF($A16="","",KARYAWAN!$U16*ABSENSI!K16)</f>
        <v>0</v>
      </c>
      <c r="T16" s="46" t="n">
        <f aca="false">IF($A16="","",F16+G16+H16+I16+J16+K16-L16-O16-P16-Q16-R16-S16)</f>
        <v>9390830</v>
      </c>
      <c r="U16" s="45" t="n">
        <f aca="false">IF($A16="","",M16+ROUND(MIN((F16+G16),PARAMETER!$E$22)*PARAMETER!$C$22,0)+ROUND(MIN((F16+G16),PARAMETER!$E$23)*PARAMETER!$C$23,0))</f>
        <v>906240</v>
      </c>
      <c r="V16" s="47" t="n">
        <f aca="false">IF($A16="","",F16+G16+H16+I16+J16+K16-L16+U16)</f>
        <v>10911240</v>
      </c>
      <c r="W16" s="48" t="n">
        <f aca="false">IF($A16="","",IF(E16="A",INDEX(TARIF_TER!$C$7:$C$50,MATCH(N16,TARIF_TER!$B$7:$B$50,1)),IF(E16="B",INDEX(TARIF_TER!$F$7:$F$46,MATCH(N16,TARIF_TER!$E$7:$E$46,1)),INDEX(TARIF_TER!$I$7:$I$47,MATCH(N16,TARIF_TER!$H$7:$H$47,1)))))</f>
        <v>0.025</v>
      </c>
      <c r="X16" s="45" t="n">
        <f aca="false">IF($A16="","",ROUND(N16*W16,0))</f>
        <v>260170</v>
      </c>
    </row>
    <row r="17" customFormat="false" ht="15" hidden="false" customHeight="false" outlineLevel="0" collapsed="false">
      <c r="A17" s="40" t="str">
        <f aca="false">IF(KARYAWAN!A17="","",KARYAWAN!A17)</f>
        <v>K-012</v>
      </c>
      <c r="B17" s="40" t="str">
        <f aca="false">IF($A17="","",KARYAWAN!B17)</f>
        <v>Eko Maulana</v>
      </c>
      <c r="C17" s="40" t="str">
        <f aca="false">IF($A17="","",KARYAWAN!E17)</f>
        <v>Teknologi</v>
      </c>
      <c r="D17" s="39" t="str">
        <f aca="false">IF($A17="","",KARYAWAN!J17)</f>
        <v>K/0</v>
      </c>
      <c r="E17" s="39" t="str">
        <f aca="false">IF($A17="","",KARYAWAN!T17)</f>
        <v>A</v>
      </c>
      <c r="F17" s="45" t="n">
        <f aca="false">IF($A17="","",KARYAWAN!$U17*KARYAWAN!K17)</f>
        <v>10200000</v>
      </c>
      <c r="G17" s="45" t="n">
        <f aca="false">IF($A17="","",KARYAWAN!$U17*KARYAWAN!L17)</f>
        <v>900000</v>
      </c>
      <c r="H17" s="45" t="n">
        <f aca="false">IF($A17="","",KARYAWAN!$U17*ABSENSI!D17*PARAMETER!$C$11)</f>
        <v>500000</v>
      </c>
      <c r="I17" s="45" t="n">
        <f aca="false">IF($A17="","",KARYAWAN!$U17*ABSENSI!D17*PARAMETER!$C$12)</f>
        <v>600000</v>
      </c>
      <c r="J17" s="45" t="n">
        <f aca="false">IF($A17="","",ROUND(KARYAWAN!$U17*ABSENSI!I17*(F17+G17)/PARAMETER!$C$9*PARAMETER!$C$10,0))</f>
        <v>898266</v>
      </c>
      <c r="K17" s="45" t="n">
        <f aca="false">IF($A17="","",KARYAWAN!$U17*ABSENSI!J17)</f>
        <v>0</v>
      </c>
      <c r="L17" s="45" t="n">
        <f aca="false">IF($A17="","",ROUND(KARYAWAN!$U17*ABSENSI!H17*F17/PARAMETER!$C$8,0))</f>
        <v>463636</v>
      </c>
      <c r="M17" s="45" t="n">
        <f aca="false">IF($A17="","",ROUND(MIN((F17+G17),PARAMETER!$E$24)*PARAMETER!$C$24+MIN((F17+G17),PARAMETER!$E$25)*PARAMETER!$C$25+MIN((F17+G17),PARAMETER!$E$26)*PARAMETER!$C$26,0))</f>
        <v>503940</v>
      </c>
      <c r="N17" s="45" t="n">
        <f aca="false">IF($A17="","",F17+G17+H17+I17+J17+K17-L17+M17)</f>
        <v>13138570</v>
      </c>
      <c r="O17" s="45" t="n">
        <f aca="false">IF($A17="","",X17)</f>
        <v>656929</v>
      </c>
      <c r="P17" s="45" t="n">
        <f aca="false">IF($A17="","",ROUND(MIN((F17+G17),PARAMETER!$E$22)*PARAMETER!$D$22,0))</f>
        <v>222000</v>
      </c>
      <c r="Q17" s="45" t="n">
        <f aca="false">IF($A17="","",ROUND(MIN((F17+G17),PARAMETER!$E$23)*PARAMETER!$D$23,0))</f>
        <v>105474</v>
      </c>
      <c r="R17" s="45" t="n">
        <f aca="false">IF($A17="","",ROUND(MIN((F17+G17),PARAMETER!$E$26)*PARAMETER!$D$26,0))</f>
        <v>111000</v>
      </c>
      <c r="S17" s="45" t="n">
        <f aca="false">IF($A17="","",KARYAWAN!$U17*ABSENSI!K17)</f>
        <v>0</v>
      </c>
      <c r="T17" s="46" t="n">
        <f aca="false">IF($A17="","",F17+G17+H17+I17+J17+K17-L17-O17-P17-Q17-R17-S17)</f>
        <v>11539227</v>
      </c>
      <c r="U17" s="45" t="n">
        <f aca="false">IF($A17="","",M17+ROUND(MIN((F17+G17),PARAMETER!$E$22)*PARAMETER!$C$22,0)+ROUND(MIN((F17+G17),PARAMETER!$E$23)*PARAMETER!$C$23,0))</f>
        <v>1125588</v>
      </c>
      <c r="V17" s="47" t="n">
        <f aca="false">IF($A17="","",F17+G17+H17+I17+J17+K17-L17+U17)</f>
        <v>13760218</v>
      </c>
      <c r="W17" s="48" t="n">
        <f aca="false">IF($A17="","",IF(E17="A",INDEX(TARIF_TER!$C$7:$C$50,MATCH(N17,TARIF_TER!$B$7:$B$50,1)),IF(E17="B",INDEX(TARIF_TER!$F$7:$F$46,MATCH(N17,TARIF_TER!$E$7:$E$46,1)),INDEX(TARIF_TER!$I$7:$I$47,MATCH(N17,TARIF_TER!$H$7:$H$47,1)))))</f>
        <v>0.05</v>
      </c>
      <c r="X17" s="45" t="n">
        <f aca="false">IF($A17="","",ROUND(N17*W17,0))</f>
        <v>656929</v>
      </c>
    </row>
    <row r="18" customFormat="false" ht="15" hidden="false" customHeight="false" outlineLevel="0" collapsed="false">
      <c r="A18" s="40" t="str">
        <f aca="false">IF(KARYAWAN!A18="","",KARYAWAN!A18)</f>
        <v>K-013</v>
      </c>
      <c r="B18" s="40" t="str">
        <f aca="false">IF($A18="","",KARYAWAN!B18)</f>
        <v>Fajar Lestari</v>
      </c>
      <c r="C18" s="40" t="str">
        <f aca="false">IF($A18="","",KARYAWAN!E18)</f>
        <v>Operasional</v>
      </c>
      <c r="D18" s="39" t="str">
        <f aca="false">IF($A18="","",KARYAWAN!J18)</f>
        <v>K/3</v>
      </c>
      <c r="E18" s="39" t="str">
        <f aca="false">IF($A18="","",KARYAWAN!T18)</f>
        <v>C</v>
      </c>
      <c r="F18" s="45" t="n">
        <f aca="false">IF($A18="","",KARYAWAN!$U18*KARYAWAN!K18)</f>
        <v>9650000</v>
      </c>
      <c r="G18" s="45" t="n">
        <f aca="false">IF($A18="","",KARYAWAN!$U18*KARYAWAN!L18)</f>
        <v>1550000</v>
      </c>
      <c r="H18" s="45" t="n">
        <f aca="false">IF($A18="","",KARYAWAN!$U18*ABSENSI!D18*PARAMETER!$C$11)</f>
        <v>475000</v>
      </c>
      <c r="I18" s="45" t="n">
        <f aca="false">IF($A18="","",KARYAWAN!$U18*ABSENSI!D18*PARAMETER!$C$12)</f>
        <v>570000</v>
      </c>
      <c r="J18" s="45" t="n">
        <f aca="false">IF($A18="","",ROUND(KARYAWAN!$U18*ABSENSI!I18*(F18+G18)/PARAMETER!$C$9*PARAMETER!$C$10,0))</f>
        <v>1132948</v>
      </c>
      <c r="K18" s="45" t="n">
        <f aca="false">IF($A18="","",KARYAWAN!$U18*ABSENSI!J18)</f>
        <v>0</v>
      </c>
      <c r="L18" s="45" t="n">
        <f aca="false">IF($A18="","",ROUND(KARYAWAN!$U18*ABSENSI!H18*F18/PARAMETER!$C$8,0))</f>
        <v>0</v>
      </c>
      <c r="M18" s="45" t="n">
        <f aca="false">IF($A18="","",ROUND(MIN((F18+G18),PARAMETER!$E$24)*PARAMETER!$C$24+MIN((F18+G18),PARAMETER!$E$25)*PARAMETER!$C$25+MIN((F18+G18),PARAMETER!$E$26)*PARAMETER!$C$26,0))</f>
        <v>508480</v>
      </c>
      <c r="N18" s="45" t="n">
        <f aca="false">IF($A18="","",F18+G18+H18+I18+J18+K18-L18+M18)</f>
        <v>13886428</v>
      </c>
      <c r="O18" s="45" t="n">
        <f aca="false">IF($A18="","",X18)</f>
        <v>555457</v>
      </c>
      <c r="P18" s="45" t="n">
        <f aca="false">IF($A18="","",ROUND(MIN((F18+G18),PARAMETER!$E$22)*PARAMETER!$D$22,0))</f>
        <v>224000</v>
      </c>
      <c r="Q18" s="45" t="n">
        <f aca="false">IF($A18="","",ROUND(MIN((F18+G18),PARAMETER!$E$23)*PARAMETER!$D$23,0))</f>
        <v>105474</v>
      </c>
      <c r="R18" s="45" t="n">
        <f aca="false">IF($A18="","",ROUND(MIN((F18+G18),PARAMETER!$E$26)*PARAMETER!$D$26,0))</f>
        <v>112000</v>
      </c>
      <c r="S18" s="45" t="n">
        <f aca="false">IF($A18="","",KARYAWAN!$U18*ABSENSI!K18)</f>
        <v>0</v>
      </c>
      <c r="T18" s="46" t="n">
        <f aca="false">IF($A18="","",F18+G18+H18+I18+J18+K18-L18-O18-P18-Q18-R18-S18)</f>
        <v>12381017</v>
      </c>
      <c r="U18" s="45" t="n">
        <f aca="false">IF($A18="","",M18+ROUND(MIN((F18+G18),PARAMETER!$E$22)*PARAMETER!$C$22,0)+ROUND(MIN((F18+G18),PARAMETER!$E$23)*PARAMETER!$C$23,0))</f>
        <v>1133828</v>
      </c>
      <c r="V18" s="47" t="n">
        <f aca="false">IF($A18="","",F18+G18+H18+I18+J18+K18-L18+U18)</f>
        <v>14511776</v>
      </c>
      <c r="W18" s="48" t="n">
        <f aca="false">IF($A18="","",IF(E18="A",INDEX(TARIF_TER!$C$7:$C$50,MATCH(N18,TARIF_TER!$B$7:$B$50,1)),IF(E18="B",INDEX(TARIF_TER!$F$7:$F$46,MATCH(N18,TARIF_TER!$E$7:$E$46,1)),INDEX(TARIF_TER!$I$7:$I$47,MATCH(N18,TARIF_TER!$H$7:$H$47,1)))))</f>
        <v>0.04</v>
      </c>
      <c r="X18" s="45" t="n">
        <f aca="false">IF($A18="","",ROUND(N18*W18,0))</f>
        <v>555457</v>
      </c>
    </row>
    <row r="19" customFormat="false" ht="15" hidden="false" customHeight="false" outlineLevel="0" collapsed="false">
      <c r="A19" s="40" t="str">
        <f aca="false">IF(KARYAWAN!A19="","",KARYAWAN!A19)</f>
        <v>K-014</v>
      </c>
      <c r="B19" s="40" t="str">
        <f aca="false">IF($A19="","",KARYAWAN!B19)</f>
        <v>Wulan Pratama</v>
      </c>
      <c r="C19" s="40" t="str">
        <f aca="false">IF($A19="","",KARYAWAN!E19)</f>
        <v>Keuangan</v>
      </c>
      <c r="D19" s="39" t="str">
        <f aca="false">IF($A19="","",KARYAWAN!J19)</f>
        <v>K/1</v>
      </c>
      <c r="E19" s="39" t="str">
        <f aca="false">IF($A19="","",KARYAWAN!T19)</f>
        <v>B</v>
      </c>
      <c r="F19" s="45" t="n">
        <f aca="false">IF($A19="","",KARYAWAN!$U19*KARYAWAN!K19)</f>
        <v>8900000</v>
      </c>
      <c r="G19" s="45" t="n">
        <f aca="false">IF($A19="","",KARYAWAN!$U19*KARYAWAN!L19)</f>
        <v>900000</v>
      </c>
      <c r="H19" s="45" t="n">
        <f aca="false">IF($A19="","",KARYAWAN!$U19*ABSENSI!D19*PARAMETER!$C$11)</f>
        <v>500000</v>
      </c>
      <c r="I19" s="45" t="n">
        <f aca="false">IF($A19="","",KARYAWAN!$U19*ABSENSI!D19*PARAMETER!$C$12)</f>
        <v>600000</v>
      </c>
      <c r="J19" s="45" t="n">
        <f aca="false">IF($A19="","",ROUND(KARYAWAN!$U19*ABSENSI!I19*(F19+G19)/PARAMETER!$C$9*PARAMETER!$C$10,0))</f>
        <v>991329</v>
      </c>
      <c r="K19" s="45" t="n">
        <f aca="false">IF($A19="","",KARYAWAN!$U19*ABSENSI!J19)</f>
        <v>0</v>
      </c>
      <c r="L19" s="45" t="n">
        <f aca="false">IF($A19="","",ROUND(KARYAWAN!$U19*ABSENSI!H19*F19/PARAMETER!$C$8,0))</f>
        <v>0</v>
      </c>
      <c r="M19" s="45" t="n">
        <f aca="false">IF($A19="","",ROUND(MIN((F19+G19),PARAMETER!$E$24)*PARAMETER!$C$24+MIN((F19+G19),PARAMETER!$E$25)*PARAMETER!$C$25+MIN((F19+G19),PARAMETER!$E$26)*PARAMETER!$C$26,0))</f>
        <v>444920</v>
      </c>
      <c r="N19" s="45" t="n">
        <f aca="false">IF($A19="","",F19+G19+H19+I19+J19+K19-L19+M19)</f>
        <v>12336249</v>
      </c>
      <c r="O19" s="45" t="n">
        <f aca="false">IF($A19="","",X19)</f>
        <v>370087</v>
      </c>
      <c r="P19" s="45" t="n">
        <f aca="false">IF($A19="","",ROUND(MIN((F19+G19),PARAMETER!$E$22)*PARAMETER!$D$22,0))</f>
        <v>196000</v>
      </c>
      <c r="Q19" s="45" t="n">
        <f aca="false">IF($A19="","",ROUND(MIN((F19+G19),PARAMETER!$E$23)*PARAMETER!$D$23,0))</f>
        <v>98000</v>
      </c>
      <c r="R19" s="45" t="n">
        <f aca="false">IF($A19="","",ROUND(MIN((F19+G19),PARAMETER!$E$26)*PARAMETER!$D$26,0))</f>
        <v>98000</v>
      </c>
      <c r="S19" s="45" t="n">
        <f aca="false">IF($A19="","",KARYAWAN!$U19*ABSENSI!K19)</f>
        <v>0</v>
      </c>
      <c r="T19" s="46" t="n">
        <f aca="false">IF($A19="","",F19+G19+H19+I19+J19+K19-L19-O19-P19-Q19-R19-S19)</f>
        <v>11129242</v>
      </c>
      <c r="U19" s="45" t="n">
        <f aca="false">IF($A19="","",M19+ROUND(MIN((F19+G19),PARAMETER!$E$22)*PARAMETER!$C$22,0)+ROUND(MIN((F19+G19),PARAMETER!$E$23)*PARAMETER!$C$23,0))</f>
        <v>1003520</v>
      </c>
      <c r="V19" s="47" t="n">
        <f aca="false">IF($A19="","",F19+G19+H19+I19+J19+K19-L19+U19)</f>
        <v>12894849</v>
      </c>
      <c r="W19" s="48" t="n">
        <f aca="false">IF($A19="","",IF(E19="A",INDEX(TARIF_TER!$C$7:$C$50,MATCH(N19,TARIF_TER!$B$7:$B$50,1)),IF(E19="B",INDEX(TARIF_TER!$F$7:$F$46,MATCH(N19,TARIF_TER!$E$7:$E$46,1)),INDEX(TARIF_TER!$I$7:$I$47,MATCH(N19,TARIF_TER!$H$7:$H$47,1)))))</f>
        <v>0.03</v>
      </c>
      <c r="X19" s="45" t="n">
        <f aca="false">IF($A19="","",ROUND(N19*W19,0))</f>
        <v>370087</v>
      </c>
    </row>
    <row r="20" customFormat="false" ht="15" hidden="false" customHeight="false" outlineLevel="0" collapsed="false">
      <c r="A20" s="40" t="str">
        <f aca="false">IF(KARYAWAN!A20="","",KARYAWAN!A20)</f>
        <v>K-015</v>
      </c>
      <c r="B20" s="40" t="str">
        <f aca="false">IF($A20="","",KARYAWAN!B20)</f>
        <v>Eko Setiawan</v>
      </c>
      <c r="C20" s="40" t="str">
        <f aca="false">IF($A20="","",KARYAWAN!E20)</f>
        <v>Operasional</v>
      </c>
      <c r="D20" s="39" t="str">
        <f aca="false">IF($A20="","",KARYAWAN!J20)</f>
        <v>TK/0</v>
      </c>
      <c r="E20" s="39" t="str">
        <f aca="false">IF($A20="","",KARYAWAN!T20)</f>
        <v>A</v>
      </c>
      <c r="F20" s="45" t="n">
        <f aca="false">IF($A20="","",KARYAWAN!$U20*KARYAWAN!K20)</f>
        <v>7650000</v>
      </c>
      <c r="G20" s="45" t="n">
        <f aca="false">IF($A20="","",KARYAWAN!$U20*KARYAWAN!L20)</f>
        <v>1300000</v>
      </c>
      <c r="H20" s="45" t="n">
        <f aca="false">IF($A20="","",KARYAWAN!$U20*ABSENSI!D20*PARAMETER!$C$11)</f>
        <v>550000</v>
      </c>
      <c r="I20" s="45" t="n">
        <f aca="false">IF($A20="","",KARYAWAN!$U20*ABSENSI!D20*PARAMETER!$C$12)</f>
        <v>660000</v>
      </c>
      <c r="J20" s="45" t="n">
        <f aca="false">IF($A20="","",ROUND(KARYAWAN!$U20*ABSENSI!I20*(F20+G20)/PARAMETER!$C$9*PARAMETER!$C$10,0))</f>
        <v>543208</v>
      </c>
      <c r="K20" s="45" t="n">
        <f aca="false">IF($A20="","",KARYAWAN!$U20*ABSENSI!J20)</f>
        <v>0</v>
      </c>
      <c r="L20" s="45" t="n">
        <f aca="false">IF($A20="","",ROUND(KARYAWAN!$U20*ABSENSI!H20*F20/PARAMETER!$C$8,0))</f>
        <v>0</v>
      </c>
      <c r="M20" s="45" t="n">
        <f aca="false">IF($A20="","",ROUND(MIN((F20+G20),PARAMETER!$E$24)*PARAMETER!$C$24+MIN((F20+G20),PARAMETER!$E$25)*PARAMETER!$C$25+MIN((F20+G20),PARAMETER!$E$26)*PARAMETER!$C$26,0))</f>
        <v>406330</v>
      </c>
      <c r="N20" s="45" t="n">
        <f aca="false">IF($A20="","",F20+G20+H20+I20+J20+K20-L20+M20)</f>
        <v>11109538</v>
      </c>
      <c r="O20" s="45" t="n">
        <f aca="false">IF($A20="","",X20)</f>
        <v>388834</v>
      </c>
      <c r="P20" s="45" t="n">
        <f aca="false">IF($A20="","",ROUND(MIN((F20+G20),PARAMETER!$E$22)*PARAMETER!$D$22,0))</f>
        <v>179000</v>
      </c>
      <c r="Q20" s="45" t="n">
        <f aca="false">IF($A20="","",ROUND(MIN((F20+G20),PARAMETER!$E$23)*PARAMETER!$D$23,0))</f>
        <v>89500</v>
      </c>
      <c r="R20" s="45" t="n">
        <f aca="false">IF($A20="","",ROUND(MIN((F20+G20),PARAMETER!$E$26)*PARAMETER!$D$26,0))</f>
        <v>89500</v>
      </c>
      <c r="S20" s="45" t="n">
        <f aca="false">IF($A20="","",KARYAWAN!$U20*ABSENSI!K20)</f>
        <v>0</v>
      </c>
      <c r="T20" s="46" t="n">
        <f aca="false">IF($A20="","",F20+G20+H20+I20+J20+K20-L20-O20-P20-Q20-R20-S20)</f>
        <v>9956374</v>
      </c>
      <c r="U20" s="45" t="n">
        <f aca="false">IF($A20="","",M20+ROUND(MIN((F20+G20),PARAMETER!$E$22)*PARAMETER!$C$22,0)+ROUND(MIN((F20+G20),PARAMETER!$E$23)*PARAMETER!$C$23,0))</f>
        <v>916480</v>
      </c>
      <c r="V20" s="47" t="n">
        <f aca="false">IF($A20="","",F20+G20+H20+I20+J20+K20-L20+U20)</f>
        <v>11619688</v>
      </c>
      <c r="W20" s="48" t="n">
        <f aca="false">IF($A20="","",IF(E20="A",INDEX(TARIF_TER!$C$7:$C$50,MATCH(N20,TARIF_TER!$B$7:$B$50,1)),IF(E20="B",INDEX(TARIF_TER!$F$7:$F$46,MATCH(N20,TARIF_TER!$E$7:$E$46,1)),INDEX(TARIF_TER!$I$7:$I$47,MATCH(N20,TARIF_TER!$H$7:$H$47,1)))))</f>
        <v>0.035</v>
      </c>
      <c r="X20" s="45" t="n">
        <f aca="false">IF($A20="","",ROUND(N20*W20,0))</f>
        <v>388834</v>
      </c>
    </row>
    <row r="21" customFormat="false" ht="15" hidden="false" customHeight="false" outlineLevel="0" collapsed="false">
      <c r="A21" s="40" t="str">
        <f aca="false">IF(KARYAWAN!A21="","",KARYAWAN!A21)</f>
        <v>K-016</v>
      </c>
      <c r="B21" s="40" t="str">
        <f aca="false">IF($A21="","",KARYAWAN!B21)</f>
        <v>Putra Santoso</v>
      </c>
      <c r="C21" s="40" t="str">
        <f aca="false">IF($A21="","",KARYAWAN!E21)</f>
        <v>Keuangan</v>
      </c>
      <c r="D21" s="39" t="str">
        <f aca="false">IF($A21="","",KARYAWAN!J21)</f>
        <v>K/3</v>
      </c>
      <c r="E21" s="39" t="str">
        <f aca="false">IF($A21="","",KARYAWAN!T21)</f>
        <v>C</v>
      </c>
      <c r="F21" s="45" t="n">
        <f aca="false">IF($A21="","",KARYAWAN!$U21*KARYAWAN!K21)</f>
        <v>8600000</v>
      </c>
      <c r="G21" s="45" t="n">
        <f aca="false">IF($A21="","",KARYAWAN!$U21*KARYAWAN!L21)</f>
        <v>1300000</v>
      </c>
      <c r="H21" s="45" t="n">
        <f aca="false">IF($A21="","",KARYAWAN!$U21*ABSENSI!D21*PARAMETER!$C$11)</f>
        <v>525000</v>
      </c>
      <c r="I21" s="45" t="n">
        <f aca="false">IF($A21="","",KARYAWAN!$U21*ABSENSI!D21*PARAMETER!$C$12)</f>
        <v>630000</v>
      </c>
      <c r="J21" s="45" t="n">
        <f aca="false">IF($A21="","",ROUND(KARYAWAN!$U21*ABSENSI!I21*(F21+G21)/PARAMETER!$C$9*PARAMETER!$C$10,0))</f>
        <v>801156</v>
      </c>
      <c r="K21" s="45" t="n">
        <f aca="false">IF($A21="","",KARYAWAN!$U21*ABSENSI!J21)</f>
        <v>0</v>
      </c>
      <c r="L21" s="45" t="n">
        <f aca="false">IF($A21="","",ROUND(KARYAWAN!$U21*ABSENSI!H21*F21/PARAMETER!$C$8,0))</f>
        <v>0</v>
      </c>
      <c r="M21" s="45" t="n">
        <f aca="false">IF($A21="","",ROUND(MIN((F21+G21),PARAMETER!$E$24)*PARAMETER!$C$24+MIN((F21+G21),PARAMETER!$E$25)*PARAMETER!$C$25+MIN((F21+G21),PARAMETER!$E$26)*PARAMETER!$C$26,0))</f>
        <v>449460</v>
      </c>
      <c r="N21" s="45" t="n">
        <f aca="false">IF($A21="","",F21+G21+H21+I21+J21+K21-L21+M21)</f>
        <v>12305616</v>
      </c>
      <c r="O21" s="45" t="n">
        <f aca="false">IF($A21="","",X21)</f>
        <v>369168</v>
      </c>
      <c r="P21" s="45" t="n">
        <f aca="false">IF($A21="","",ROUND(MIN((F21+G21),PARAMETER!$E$22)*PARAMETER!$D$22,0))</f>
        <v>198000</v>
      </c>
      <c r="Q21" s="45" t="n">
        <f aca="false">IF($A21="","",ROUND(MIN((F21+G21),PARAMETER!$E$23)*PARAMETER!$D$23,0))</f>
        <v>99000</v>
      </c>
      <c r="R21" s="45" t="n">
        <f aca="false">IF($A21="","",ROUND(MIN((F21+G21),PARAMETER!$E$26)*PARAMETER!$D$26,0))</f>
        <v>99000</v>
      </c>
      <c r="S21" s="45" t="n">
        <f aca="false">IF($A21="","",KARYAWAN!$U21*ABSENSI!K21)</f>
        <v>250000</v>
      </c>
      <c r="T21" s="46" t="n">
        <f aca="false">IF($A21="","",F21+G21+H21+I21+J21+K21-L21-O21-P21-Q21-R21-S21)</f>
        <v>10840988</v>
      </c>
      <c r="U21" s="45" t="n">
        <f aca="false">IF($A21="","",M21+ROUND(MIN((F21+G21),PARAMETER!$E$22)*PARAMETER!$C$22,0)+ROUND(MIN((F21+G21),PARAMETER!$E$23)*PARAMETER!$C$23,0))</f>
        <v>1013760</v>
      </c>
      <c r="V21" s="47" t="n">
        <f aca="false">IF($A21="","",F21+G21+H21+I21+J21+K21-L21+U21)</f>
        <v>12869916</v>
      </c>
      <c r="W21" s="48" t="n">
        <f aca="false">IF($A21="","",IF(E21="A",INDEX(TARIF_TER!$C$7:$C$50,MATCH(N21,TARIF_TER!$B$7:$B$50,1)),IF(E21="B",INDEX(TARIF_TER!$F$7:$F$46,MATCH(N21,TARIF_TER!$E$7:$E$46,1)),INDEX(TARIF_TER!$I$7:$I$47,MATCH(N21,TARIF_TER!$H$7:$H$47,1)))))</f>
        <v>0.03</v>
      </c>
      <c r="X21" s="45" t="n">
        <f aca="false">IF($A21="","",ROUND(N21*W21,0))</f>
        <v>369168</v>
      </c>
    </row>
    <row r="22" customFormat="false" ht="15" hidden="false" customHeight="false" outlineLevel="0" collapsed="false">
      <c r="A22" s="40" t="str">
        <f aca="false">IF(KARYAWAN!A22="","",KARYAWAN!A22)</f>
        <v>K-017</v>
      </c>
      <c r="B22" s="40" t="str">
        <f aca="false">IF($A22="","",KARYAWAN!B22)</f>
        <v>Jihan Maulana</v>
      </c>
      <c r="C22" s="40" t="str">
        <f aca="false">IF($A22="","",KARYAWAN!E22)</f>
        <v>Keuangan</v>
      </c>
      <c r="D22" s="39" t="str">
        <f aca="false">IF($A22="","",KARYAWAN!J22)</f>
        <v>K/2</v>
      </c>
      <c r="E22" s="39" t="str">
        <f aca="false">IF($A22="","",KARYAWAN!T22)</f>
        <v>B</v>
      </c>
      <c r="F22" s="45" t="n">
        <f aca="false">IF($A22="","",KARYAWAN!$U22*KARYAWAN!K22)</f>
        <v>11550000</v>
      </c>
      <c r="G22" s="45" t="n">
        <f aca="false">IF($A22="","",KARYAWAN!$U22*KARYAWAN!L22)</f>
        <v>1150000</v>
      </c>
      <c r="H22" s="45" t="n">
        <f aca="false">IF($A22="","",KARYAWAN!$U22*ABSENSI!D22*PARAMETER!$C$11)</f>
        <v>450000</v>
      </c>
      <c r="I22" s="45" t="n">
        <f aca="false">IF($A22="","",KARYAWAN!$U22*ABSENSI!D22*PARAMETER!$C$12)</f>
        <v>540000</v>
      </c>
      <c r="J22" s="45" t="n">
        <f aca="false">IF($A22="","",ROUND(KARYAWAN!$U22*ABSENSI!I22*(F22+G22)/PARAMETER!$C$9*PARAMETER!$C$10,0))</f>
        <v>770809</v>
      </c>
      <c r="K22" s="45" t="n">
        <f aca="false">IF($A22="","",KARYAWAN!$U22*ABSENSI!J22)</f>
        <v>0</v>
      </c>
      <c r="L22" s="45" t="n">
        <f aca="false">IF($A22="","",ROUND(KARYAWAN!$U22*ABSENSI!H22*F22/PARAMETER!$C$8,0))</f>
        <v>0</v>
      </c>
      <c r="M22" s="45" t="n">
        <f aca="false">IF($A22="","",ROUND(MIN((F22+G22),PARAMETER!$E$24)*PARAMETER!$C$24+MIN((F22+G22),PARAMETER!$E$25)*PARAMETER!$C$25+MIN((F22+G22),PARAMETER!$E$26)*PARAMETER!$C$26,0))</f>
        <v>548580</v>
      </c>
      <c r="N22" s="45" t="n">
        <f aca="false">IF($A22="","",F22+G22+H22+I22+J22+K22-L22+M22)</f>
        <v>15009389</v>
      </c>
      <c r="O22" s="45" t="n">
        <f aca="false">IF($A22="","",X22)</f>
        <v>900563</v>
      </c>
      <c r="P22" s="45" t="n">
        <f aca="false">IF($A22="","",ROUND(MIN((F22+G22),PARAMETER!$E$22)*PARAMETER!$D$22,0))</f>
        <v>254000</v>
      </c>
      <c r="Q22" s="45" t="n">
        <f aca="false">IF($A22="","",ROUND(MIN((F22+G22),PARAMETER!$E$23)*PARAMETER!$D$23,0))</f>
        <v>105474</v>
      </c>
      <c r="R22" s="45" t="n">
        <f aca="false">IF($A22="","",ROUND(MIN((F22+G22),PARAMETER!$E$26)*PARAMETER!$D$26,0))</f>
        <v>120000</v>
      </c>
      <c r="S22" s="45" t="n">
        <f aca="false">IF($A22="","",KARYAWAN!$U22*ABSENSI!K22)</f>
        <v>500000</v>
      </c>
      <c r="T22" s="46" t="n">
        <f aca="false">IF($A22="","",F22+G22+H22+I22+J22+K22-L22-O22-P22-Q22-R22-S22)</f>
        <v>12580772</v>
      </c>
      <c r="U22" s="45" t="n">
        <f aca="false">IF($A22="","",M22+ROUND(MIN((F22+G22),PARAMETER!$E$22)*PARAMETER!$C$22,0)+ROUND(MIN((F22+G22),PARAMETER!$E$23)*PARAMETER!$C$23,0))</f>
        <v>1229428</v>
      </c>
      <c r="V22" s="47" t="n">
        <f aca="false">IF($A22="","",F22+G22+H22+I22+J22+K22-L22+U22)</f>
        <v>15690237</v>
      </c>
      <c r="W22" s="48" t="n">
        <f aca="false">IF($A22="","",IF(E22="A",INDEX(TARIF_TER!$C$7:$C$50,MATCH(N22,TARIF_TER!$B$7:$B$50,1)),IF(E22="B",INDEX(TARIF_TER!$F$7:$F$46,MATCH(N22,TARIF_TER!$E$7:$E$46,1)),INDEX(TARIF_TER!$I$7:$I$47,MATCH(N22,TARIF_TER!$H$7:$H$47,1)))))</f>
        <v>0.06</v>
      </c>
      <c r="X22" s="45" t="n">
        <f aca="false">IF($A22="","",ROUND(N22*W22,0))</f>
        <v>900563</v>
      </c>
    </row>
    <row r="23" customFormat="false" ht="15" hidden="false" customHeight="false" outlineLevel="0" collapsed="false">
      <c r="A23" s="40" t="str">
        <f aca="false">IF(KARYAWAN!A23="","",KARYAWAN!A23)</f>
        <v>K-018</v>
      </c>
      <c r="B23" s="40" t="str">
        <f aca="false">IF($A23="","",KARYAWAN!B23)</f>
        <v>Zahra Wijaya</v>
      </c>
      <c r="C23" s="40" t="str">
        <f aca="false">IF($A23="","",KARYAWAN!E23)</f>
        <v>Teknologi</v>
      </c>
      <c r="D23" s="39" t="str">
        <f aca="false">IF($A23="","",KARYAWAN!J23)</f>
        <v>K/0</v>
      </c>
      <c r="E23" s="39" t="str">
        <f aca="false">IF($A23="","",KARYAWAN!T23)</f>
        <v>A</v>
      </c>
      <c r="F23" s="45" t="n">
        <f aca="false">IF($A23="","",KARYAWAN!$U23*KARYAWAN!K23)</f>
        <v>24600000</v>
      </c>
      <c r="G23" s="45" t="n">
        <f aca="false">IF($A23="","",KARYAWAN!$U23*KARYAWAN!L23)</f>
        <v>2050000</v>
      </c>
      <c r="H23" s="45" t="n">
        <f aca="false">IF($A23="","",KARYAWAN!$U23*ABSENSI!D23*PARAMETER!$C$11)</f>
        <v>450000</v>
      </c>
      <c r="I23" s="45" t="n">
        <f aca="false">IF($A23="","",KARYAWAN!$U23*ABSENSI!D23*PARAMETER!$C$12)</f>
        <v>540000</v>
      </c>
      <c r="J23" s="45" t="n">
        <f aca="false">IF($A23="","",ROUND(KARYAWAN!$U23*ABSENSI!I23*(F23+G23)/PARAMETER!$C$9*PARAMETER!$C$10,0))</f>
        <v>0</v>
      </c>
      <c r="K23" s="45" t="n">
        <f aca="false">IF($A23="","",KARYAWAN!$U23*ABSENSI!J23)</f>
        <v>0</v>
      </c>
      <c r="L23" s="45" t="n">
        <f aca="false">IF($A23="","",ROUND(KARYAWAN!$U23*ABSENSI!H23*F23/PARAMETER!$C$8,0))</f>
        <v>0</v>
      </c>
      <c r="M23" s="45" t="n">
        <f aca="false">IF($A23="","",ROUND(MIN((F23+G23),PARAMETER!$E$24)*PARAMETER!$C$24+MIN((F23+G23),PARAMETER!$E$25)*PARAMETER!$C$25+MIN((F23+G23),PARAMETER!$E$26)*PARAMETER!$C$26,0))</f>
        <v>623910</v>
      </c>
      <c r="N23" s="45" t="n">
        <f aca="false">IF($A23="","",F23+G23+H23+I23+J23+K23-L23+M23)</f>
        <v>28263910</v>
      </c>
      <c r="O23" s="45" t="n">
        <f aca="false">IF($A23="","",X23)</f>
        <v>3391669</v>
      </c>
      <c r="P23" s="45" t="n">
        <f aca="false">IF($A23="","",ROUND(MIN((F23+G23),PARAMETER!$E$22)*PARAMETER!$D$22,0))</f>
        <v>533000</v>
      </c>
      <c r="Q23" s="45" t="n">
        <f aca="false">IF($A23="","",ROUND(MIN((F23+G23),PARAMETER!$E$23)*PARAMETER!$D$23,0))</f>
        <v>105474</v>
      </c>
      <c r="R23" s="45" t="n">
        <f aca="false">IF($A23="","",ROUND(MIN((F23+G23),PARAMETER!$E$26)*PARAMETER!$D$26,0))</f>
        <v>120000</v>
      </c>
      <c r="S23" s="45" t="n">
        <f aca="false">IF($A23="","",KARYAWAN!$U23*ABSENSI!K23)</f>
        <v>0</v>
      </c>
      <c r="T23" s="46" t="n">
        <f aca="false">IF($A23="","",F23+G23+H23+I23+J23+K23-L23-O23-P23-Q23-R23-S23)</f>
        <v>23489857</v>
      </c>
      <c r="U23" s="45" t="n">
        <f aca="false">IF($A23="","",M23+ROUND(MIN((F23+G23),PARAMETER!$E$22)*PARAMETER!$C$22,0)+ROUND(MIN((F23+G23),PARAMETER!$E$23)*PARAMETER!$C$23,0))</f>
        <v>1820908</v>
      </c>
      <c r="V23" s="47" t="n">
        <f aca="false">IF($A23="","",F23+G23+H23+I23+J23+K23-L23+U23)</f>
        <v>29460908</v>
      </c>
      <c r="W23" s="48" t="n">
        <f aca="false">IF($A23="","",IF(E23="A",INDEX(TARIF_TER!$C$7:$C$50,MATCH(N23,TARIF_TER!$B$7:$B$50,1)),IF(E23="B",INDEX(TARIF_TER!$F$7:$F$46,MATCH(N23,TARIF_TER!$E$7:$E$46,1)),INDEX(TARIF_TER!$I$7:$I$47,MATCH(N23,TARIF_TER!$H$7:$H$47,1)))))</f>
        <v>0.12</v>
      </c>
      <c r="X23" s="45" t="n">
        <f aca="false">IF($A23="","",ROUND(N23*W23,0))</f>
        <v>3391669</v>
      </c>
    </row>
    <row r="24" customFormat="false" ht="15" hidden="false" customHeight="false" outlineLevel="0" collapsed="false">
      <c r="A24" s="40" t="str">
        <f aca="false">IF(KARYAWAN!A24="","",KARYAWAN!A24)</f>
        <v>K-019</v>
      </c>
      <c r="B24" s="40" t="str">
        <f aca="false">IF($A24="","",KARYAWAN!B24)</f>
        <v>Citra Saputra</v>
      </c>
      <c r="C24" s="40" t="str">
        <f aca="false">IF($A24="","",KARYAWAN!E24)</f>
        <v>Teknologi</v>
      </c>
      <c r="D24" s="39" t="str">
        <f aca="false">IF($A24="","",KARYAWAN!J24)</f>
        <v>K/1</v>
      </c>
      <c r="E24" s="39" t="str">
        <f aca="false">IF($A24="","",KARYAWAN!T24)</f>
        <v>B</v>
      </c>
      <c r="F24" s="45" t="n">
        <f aca="false">IF($A24="","",KARYAWAN!$U24*KARYAWAN!K24)</f>
        <v>11100000</v>
      </c>
      <c r="G24" s="45" t="n">
        <f aca="false">IF($A24="","",KARYAWAN!$U24*KARYAWAN!L24)</f>
        <v>1700000</v>
      </c>
      <c r="H24" s="45" t="n">
        <f aca="false">IF($A24="","",KARYAWAN!$U24*ABSENSI!D24*PARAMETER!$C$11)</f>
        <v>500000</v>
      </c>
      <c r="I24" s="45" t="n">
        <f aca="false">IF($A24="","",KARYAWAN!$U24*ABSENSI!D24*PARAMETER!$C$12)</f>
        <v>600000</v>
      </c>
      <c r="J24" s="45" t="n">
        <f aca="false">IF($A24="","",ROUND(KARYAWAN!$U24*ABSENSI!I24*(F24+G24)/PARAMETER!$C$9*PARAMETER!$C$10,0))</f>
        <v>0</v>
      </c>
      <c r="K24" s="45" t="n">
        <f aca="false">IF($A24="","",KARYAWAN!$U24*ABSENSI!J24)</f>
        <v>0</v>
      </c>
      <c r="L24" s="45" t="n">
        <f aca="false">IF($A24="","",ROUND(KARYAWAN!$U24*ABSENSI!H24*F24/PARAMETER!$C$8,0))</f>
        <v>0</v>
      </c>
      <c r="M24" s="45" t="n">
        <f aca="false">IF($A24="","",ROUND(MIN((F24+G24),PARAMETER!$E$24)*PARAMETER!$C$24+MIN((F24+G24),PARAMETER!$E$25)*PARAMETER!$C$25+MIN((F24+G24),PARAMETER!$E$26)*PARAMETER!$C$26,0))</f>
        <v>549120</v>
      </c>
      <c r="N24" s="45" t="n">
        <f aca="false">IF($A24="","",F24+G24+H24+I24+J24+K24-L24+M24)</f>
        <v>14449120</v>
      </c>
      <c r="O24" s="45" t="n">
        <f aca="false">IF($A24="","",X24)</f>
        <v>722456</v>
      </c>
      <c r="P24" s="45" t="n">
        <f aca="false">IF($A24="","",ROUND(MIN((F24+G24),PARAMETER!$E$22)*PARAMETER!$D$22,0))</f>
        <v>256000</v>
      </c>
      <c r="Q24" s="45" t="n">
        <f aca="false">IF($A24="","",ROUND(MIN((F24+G24),PARAMETER!$E$23)*PARAMETER!$D$23,0))</f>
        <v>105474</v>
      </c>
      <c r="R24" s="45" t="n">
        <f aca="false">IF($A24="","",ROUND(MIN((F24+G24),PARAMETER!$E$26)*PARAMETER!$D$26,0))</f>
        <v>120000</v>
      </c>
      <c r="S24" s="45" t="n">
        <f aca="false">IF($A24="","",KARYAWAN!$U24*ABSENSI!K24)</f>
        <v>0</v>
      </c>
      <c r="T24" s="46" t="n">
        <f aca="false">IF($A24="","",F24+G24+H24+I24+J24+K24-L24-O24-P24-Q24-R24-S24)</f>
        <v>12696070</v>
      </c>
      <c r="U24" s="45" t="n">
        <f aca="false">IF($A24="","",M24+ROUND(MIN((F24+G24),PARAMETER!$E$22)*PARAMETER!$C$22,0)+ROUND(MIN((F24+G24),PARAMETER!$E$23)*PARAMETER!$C$23,0))</f>
        <v>1233668</v>
      </c>
      <c r="V24" s="47" t="n">
        <f aca="false">IF($A24="","",F24+G24+H24+I24+J24+K24-L24+U24)</f>
        <v>15133668</v>
      </c>
      <c r="W24" s="48" t="n">
        <f aca="false">IF($A24="","",IF(E24="A",INDEX(TARIF_TER!$C$7:$C$50,MATCH(N24,TARIF_TER!$B$7:$B$50,1)),IF(E24="B",INDEX(TARIF_TER!$F$7:$F$46,MATCH(N24,TARIF_TER!$E$7:$E$46,1)),INDEX(TARIF_TER!$I$7:$I$47,MATCH(N24,TARIF_TER!$H$7:$H$47,1)))))</f>
        <v>0.05</v>
      </c>
      <c r="X24" s="45" t="n">
        <f aca="false">IF($A24="","",ROUND(N24*W24,0))</f>
        <v>722456</v>
      </c>
    </row>
    <row r="25" customFormat="false" ht="15" hidden="false" customHeight="false" outlineLevel="0" collapsed="false">
      <c r="A25" s="40" t="str">
        <f aca="false">IF(KARYAWAN!A25="","",KARYAWAN!A25)</f>
        <v>K-020</v>
      </c>
      <c r="B25" s="40" t="str">
        <f aca="false">IF($A25="","",KARYAWAN!B25)</f>
        <v>Dimas Wijaya</v>
      </c>
      <c r="C25" s="40" t="str">
        <f aca="false">IF($A25="","",KARYAWAN!E25)</f>
        <v>Teknologi</v>
      </c>
      <c r="D25" s="39" t="str">
        <f aca="false">IF($A25="","",KARYAWAN!J25)</f>
        <v>TK/1</v>
      </c>
      <c r="E25" s="39" t="str">
        <f aca="false">IF($A25="","",KARYAWAN!T25)</f>
        <v>A</v>
      </c>
      <c r="F25" s="45" t="n">
        <f aca="false">IF($A25="","",KARYAWAN!$U25*KARYAWAN!K25)</f>
        <v>8750000</v>
      </c>
      <c r="G25" s="45" t="n">
        <f aca="false">IF($A25="","",KARYAWAN!$U25*KARYAWAN!L25)</f>
        <v>900000</v>
      </c>
      <c r="H25" s="45" t="n">
        <f aca="false">IF($A25="","",KARYAWAN!$U25*ABSENSI!D25*PARAMETER!$C$11)</f>
        <v>550000</v>
      </c>
      <c r="I25" s="45" t="n">
        <f aca="false">IF($A25="","",KARYAWAN!$U25*ABSENSI!D25*PARAMETER!$C$12)</f>
        <v>660000</v>
      </c>
      <c r="J25" s="45" t="n">
        <f aca="false">IF($A25="","",ROUND(KARYAWAN!$U25*ABSENSI!I25*(F25+G25)/PARAMETER!$C$9*PARAMETER!$C$10,0))</f>
        <v>780925</v>
      </c>
      <c r="K25" s="45" t="n">
        <f aca="false">IF($A25="","",KARYAWAN!$U25*ABSENSI!J25)</f>
        <v>0</v>
      </c>
      <c r="L25" s="45" t="n">
        <f aca="false">IF($A25="","",ROUND(KARYAWAN!$U25*ABSENSI!H25*F25/PARAMETER!$C$8,0))</f>
        <v>0</v>
      </c>
      <c r="M25" s="45" t="n">
        <f aca="false">IF($A25="","",ROUND(MIN((F25+G25),PARAMETER!$E$24)*PARAMETER!$C$24+MIN((F25+G25),PARAMETER!$E$25)*PARAMETER!$C$25+MIN((F25+G25),PARAMETER!$E$26)*PARAMETER!$C$26,0))</f>
        <v>438110</v>
      </c>
      <c r="N25" s="45" t="n">
        <f aca="false">IF($A25="","",F25+G25+H25+I25+J25+K25-L25+M25)</f>
        <v>12079035</v>
      </c>
      <c r="O25" s="45" t="n">
        <f aca="false">IF($A25="","",X25)</f>
        <v>483161</v>
      </c>
      <c r="P25" s="45" t="n">
        <f aca="false">IF($A25="","",ROUND(MIN((F25+G25),PARAMETER!$E$22)*PARAMETER!$D$22,0))</f>
        <v>193000</v>
      </c>
      <c r="Q25" s="45" t="n">
        <f aca="false">IF($A25="","",ROUND(MIN((F25+G25),PARAMETER!$E$23)*PARAMETER!$D$23,0))</f>
        <v>96500</v>
      </c>
      <c r="R25" s="45" t="n">
        <f aca="false">IF($A25="","",ROUND(MIN((F25+G25),PARAMETER!$E$26)*PARAMETER!$D$26,0))</f>
        <v>96500</v>
      </c>
      <c r="S25" s="45" t="n">
        <f aca="false">IF($A25="","",KARYAWAN!$U25*ABSENSI!K25)</f>
        <v>500000</v>
      </c>
      <c r="T25" s="46" t="n">
        <f aca="false">IF($A25="","",F25+G25+H25+I25+J25+K25-L25-O25-P25-Q25-R25-S25)</f>
        <v>10271764</v>
      </c>
      <c r="U25" s="45" t="n">
        <f aca="false">IF($A25="","",M25+ROUND(MIN((F25+G25),PARAMETER!$E$22)*PARAMETER!$C$22,0)+ROUND(MIN((F25+G25),PARAMETER!$E$23)*PARAMETER!$C$23,0))</f>
        <v>988160</v>
      </c>
      <c r="V25" s="47" t="n">
        <f aca="false">IF($A25="","",F25+G25+H25+I25+J25+K25-L25+U25)</f>
        <v>12629085</v>
      </c>
      <c r="W25" s="48" t="n">
        <f aca="false">IF($A25="","",IF(E25="A",INDEX(TARIF_TER!$C$7:$C$50,MATCH(N25,TARIF_TER!$B$7:$B$50,1)),IF(E25="B",INDEX(TARIF_TER!$F$7:$F$46,MATCH(N25,TARIF_TER!$E$7:$E$46,1)),INDEX(TARIF_TER!$I$7:$I$47,MATCH(N25,TARIF_TER!$H$7:$H$47,1)))))</f>
        <v>0.04</v>
      </c>
      <c r="X25" s="45" t="n">
        <f aca="false">IF($A25="","",ROUND(N25*W25,0))</f>
        <v>483161</v>
      </c>
    </row>
    <row r="26" customFormat="false" ht="15" hidden="false" customHeight="false" outlineLevel="0" collapsed="false">
      <c r="A26" s="40" t="str">
        <f aca="false">IF(KARYAWAN!A26="","",KARYAWAN!A26)</f>
        <v/>
      </c>
      <c r="B26" s="40" t="str">
        <f aca="false">IF($A26="","",KARYAWAN!B26)</f>
        <v/>
      </c>
      <c r="C26" s="40" t="str">
        <f aca="false">IF($A26="","",KARYAWAN!E26)</f>
        <v/>
      </c>
      <c r="D26" s="39" t="str">
        <f aca="false">IF($A26="","",KARYAWAN!J26)</f>
        <v/>
      </c>
      <c r="E26" s="39" t="str">
        <f aca="false">IF($A26="","",KARYAWAN!T26)</f>
        <v/>
      </c>
      <c r="F26" s="45" t="str">
        <f aca="false">IF($A26="","",KARYAWAN!$U26*KARYAWAN!K26)</f>
        <v/>
      </c>
      <c r="G26" s="45" t="str">
        <f aca="false">IF($A26="","",KARYAWAN!$U26*KARYAWAN!L26)</f>
        <v/>
      </c>
      <c r="H26" s="45" t="str">
        <f aca="false">IF($A26="","",KARYAWAN!$U26*ABSENSI!D26*PARAMETER!$C$11)</f>
        <v/>
      </c>
      <c r="I26" s="45" t="str">
        <f aca="false">IF($A26="","",KARYAWAN!$U26*ABSENSI!D26*PARAMETER!$C$12)</f>
        <v/>
      </c>
      <c r="J26" s="45" t="str">
        <f aca="false">IF($A26="","",ROUND(KARYAWAN!$U26*ABSENSI!I26*(F26+G26)/PARAMETER!$C$9*PARAMETER!$C$10,0))</f>
        <v/>
      </c>
      <c r="K26" s="45" t="str">
        <f aca="false">IF($A26="","",KARYAWAN!$U26*ABSENSI!J26)</f>
        <v/>
      </c>
      <c r="L26" s="45" t="str">
        <f aca="false">IF($A26="","",ROUND(KARYAWAN!$U26*ABSENSI!H26*F26/PARAMETER!$C$8,0))</f>
        <v/>
      </c>
      <c r="M26" s="45" t="str">
        <f aca="false">IF($A26="","",ROUND(MIN((F26+G26),PARAMETER!$E$24)*PARAMETER!$C$24+MIN((F26+G26),PARAMETER!$E$25)*PARAMETER!$C$25+MIN((F26+G26),PARAMETER!$E$26)*PARAMETER!$C$26,0))</f>
        <v/>
      </c>
      <c r="N26" s="45" t="str">
        <f aca="false">IF($A26="","",F26+G26+H26+I26+J26+K26-L26+M26)</f>
        <v/>
      </c>
      <c r="O26" s="45" t="str">
        <f aca="false">IF($A26="","",X26)</f>
        <v/>
      </c>
      <c r="P26" s="45" t="str">
        <f aca="false">IF($A26="","",ROUND(MIN((F26+G26),PARAMETER!$E$22)*PARAMETER!$D$22,0))</f>
        <v/>
      </c>
      <c r="Q26" s="45" t="str">
        <f aca="false">IF($A26="","",ROUND(MIN((F26+G26),PARAMETER!$E$23)*PARAMETER!$D$23,0))</f>
        <v/>
      </c>
      <c r="R26" s="45" t="str">
        <f aca="false">IF($A26="","",ROUND(MIN((F26+G26),PARAMETER!$E$26)*PARAMETER!$D$26,0))</f>
        <v/>
      </c>
      <c r="S26" s="45" t="str">
        <f aca="false">IF($A26="","",KARYAWAN!$U26*ABSENSI!K26)</f>
        <v/>
      </c>
      <c r="T26" s="46" t="str">
        <f aca="false">IF($A26="","",F26+G26+H26+I26+J26+K26-L26-O26-P26-Q26-R26-S26)</f>
        <v/>
      </c>
      <c r="U26" s="45" t="str">
        <f aca="false">IF($A26="","",M26+ROUND(MIN((F26+G26),PARAMETER!$E$22)*PARAMETER!$C$22,0)+ROUND(MIN((F26+G26),PARAMETER!$E$23)*PARAMETER!$C$23,0))</f>
        <v/>
      </c>
      <c r="V26" s="47" t="str">
        <f aca="false">IF($A26="","",F26+G26+H26+I26+J26+K26-L26+U26)</f>
        <v/>
      </c>
      <c r="W26" s="48" t="str">
        <f aca="false">IF($A26="","",IF(E26="A",INDEX(TARIF_TER!$C$7:$C$50,MATCH(N26,TARIF_TER!$B$7:$B$50,1)),IF(E26="B",INDEX(TARIF_TER!$F$7:$F$46,MATCH(N26,TARIF_TER!$E$7:$E$46,1)),INDEX(TARIF_TER!$I$7:$I$47,MATCH(N26,TARIF_TER!$H$7:$H$47,1)))))</f>
        <v/>
      </c>
      <c r="X26" s="45" t="str">
        <f aca="false">IF($A26="","",ROUND(N26*W26,0))</f>
        <v/>
      </c>
    </row>
    <row r="27" customFormat="false" ht="15" hidden="false" customHeight="false" outlineLevel="0" collapsed="false">
      <c r="A27" s="40" t="str">
        <f aca="false">IF(KARYAWAN!A27="","",KARYAWAN!A27)</f>
        <v/>
      </c>
      <c r="B27" s="40" t="str">
        <f aca="false">IF($A27="","",KARYAWAN!B27)</f>
        <v/>
      </c>
      <c r="C27" s="40" t="str">
        <f aca="false">IF($A27="","",KARYAWAN!E27)</f>
        <v/>
      </c>
      <c r="D27" s="39" t="str">
        <f aca="false">IF($A27="","",KARYAWAN!J27)</f>
        <v/>
      </c>
      <c r="E27" s="39" t="str">
        <f aca="false">IF($A27="","",KARYAWAN!T27)</f>
        <v/>
      </c>
      <c r="F27" s="45" t="str">
        <f aca="false">IF($A27="","",KARYAWAN!$U27*KARYAWAN!K27)</f>
        <v/>
      </c>
      <c r="G27" s="45" t="str">
        <f aca="false">IF($A27="","",KARYAWAN!$U27*KARYAWAN!L27)</f>
        <v/>
      </c>
      <c r="H27" s="45" t="str">
        <f aca="false">IF($A27="","",KARYAWAN!$U27*ABSENSI!D27*PARAMETER!$C$11)</f>
        <v/>
      </c>
      <c r="I27" s="45" t="str">
        <f aca="false">IF($A27="","",KARYAWAN!$U27*ABSENSI!D27*PARAMETER!$C$12)</f>
        <v/>
      </c>
      <c r="J27" s="45" t="str">
        <f aca="false">IF($A27="","",ROUND(KARYAWAN!$U27*ABSENSI!I27*(F27+G27)/PARAMETER!$C$9*PARAMETER!$C$10,0))</f>
        <v/>
      </c>
      <c r="K27" s="45" t="str">
        <f aca="false">IF($A27="","",KARYAWAN!$U27*ABSENSI!J27)</f>
        <v/>
      </c>
      <c r="L27" s="45" t="str">
        <f aca="false">IF($A27="","",ROUND(KARYAWAN!$U27*ABSENSI!H27*F27/PARAMETER!$C$8,0))</f>
        <v/>
      </c>
      <c r="M27" s="45" t="str">
        <f aca="false">IF($A27="","",ROUND(MIN((F27+G27),PARAMETER!$E$24)*PARAMETER!$C$24+MIN((F27+G27),PARAMETER!$E$25)*PARAMETER!$C$25+MIN((F27+G27),PARAMETER!$E$26)*PARAMETER!$C$26,0))</f>
        <v/>
      </c>
      <c r="N27" s="45" t="str">
        <f aca="false">IF($A27="","",F27+G27+H27+I27+J27+K27-L27+M27)</f>
        <v/>
      </c>
      <c r="O27" s="45" t="str">
        <f aca="false">IF($A27="","",X27)</f>
        <v/>
      </c>
      <c r="P27" s="45" t="str">
        <f aca="false">IF($A27="","",ROUND(MIN((F27+G27),PARAMETER!$E$22)*PARAMETER!$D$22,0))</f>
        <v/>
      </c>
      <c r="Q27" s="45" t="str">
        <f aca="false">IF($A27="","",ROUND(MIN((F27+G27),PARAMETER!$E$23)*PARAMETER!$D$23,0))</f>
        <v/>
      </c>
      <c r="R27" s="45" t="str">
        <f aca="false">IF($A27="","",ROUND(MIN((F27+G27),PARAMETER!$E$26)*PARAMETER!$D$26,0))</f>
        <v/>
      </c>
      <c r="S27" s="45" t="str">
        <f aca="false">IF($A27="","",KARYAWAN!$U27*ABSENSI!K27)</f>
        <v/>
      </c>
      <c r="T27" s="46" t="str">
        <f aca="false">IF($A27="","",F27+G27+H27+I27+J27+K27-L27-O27-P27-Q27-R27-S27)</f>
        <v/>
      </c>
      <c r="U27" s="45" t="str">
        <f aca="false">IF($A27="","",M27+ROUND(MIN((F27+G27),PARAMETER!$E$22)*PARAMETER!$C$22,0)+ROUND(MIN((F27+G27),PARAMETER!$E$23)*PARAMETER!$C$23,0))</f>
        <v/>
      </c>
      <c r="V27" s="47" t="str">
        <f aca="false">IF($A27="","",F27+G27+H27+I27+J27+K27-L27+U27)</f>
        <v/>
      </c>
      <c r="W27" s="48" t="str">
        <f aca="false">IF($A27="","",IF(E27="A",INDEX(TARIF_TER!$C$7:$C$50,MATCH(N27,TARIF_TER!$B$7:$B$50,1)),IF(E27="B",INDEX(TARIF_TER!$F$7:$F$46,MATCH(N27,TARIF_TER!$E$7:$E$46,1)),INDEX(TARIF_TER!$I$7:$I$47,MATCH(N27,TARIF_TER!$H$7:$H$47,1)))))</f>
        <v/>
      </c>
      <c r="X27" s="45" t="str">
        <f aca="false">IF($A27="","",ROUND(N27*W27,0))</f>
        <v/>
      </c>
    </row>
    <row r="28" customFormat="false" ht="15" hidden="false" customHeight="false" outlineLevel="0" collapsed="false">
      <c r="A28" s="40" t="str">
        <f aca="false">IF(KARYAWAN!A28="","",KARYAWAN!A28)</f>
        <v/>
      </c>
      <c r="B28" s="40" t="str">
        <f aca="false">IF($A28="","",KARYAWAN!B28)</f>
        <v/>
      </c>
      <c r="C28" s="40" t="str">
        <f aca="false">IF($A28="","",KARYAWAN!E28)</f>
        <v/>
      </c>
      <c r="D28" s="39" t="str">
        <f aca="false">IF($A28="","",KARYAWAN!J28)</f>
        <v/>
      </c>
      <c r="E28" s="39" t="str">
        <f aca="false">IF($A28="","",KARYAWAN!T28)</f>
        <v/>
      </c>
      <c r="F28" s="45" t="str">
        <f aca="false">IF($A28="","",KARYAWAN!$U28*KARYAWAN!K28)</f>
        <v/>
      </c>
      <c r="G28" s="45" t="str">
        <f aca="false">IF($A28="","",KARYAWAN!$U28*KARYAWAN!L28)</f>
        <v/>
      </c>
      <c r="H28" s="45" t="str">
        <f aca="false">IF($A28="","",KARYAWAN!$U28*ABSENSI!D28*PARAMETER!$C$11)</f>
        <v/>
      </c>
      <c r="I28" s="45" t="str">
        <f aca="false">IF($A28="","",KARYAWAN!$U28*ABSENSI!D28*PARAMETER!$C$12)</f>
        <v/>
      </c>
      <c r="J28" s="45" t="str">
        <f aca="false">IF($A28="","",ROUND(KARYAWAN!$U28*ABSENSI!I28*(F28+G28)/PARAMETER!$C$9*PARAMETER!$C$10,0))</f>
        <v/>
      </c>
      <c r="K28" s="45" t="str">
        <f aca="false">IF($A28="","",KARYAWAN!$U28*ABSENSI!J28)</f>
        <v/>
      </c>
      <c r="L28" s="45" t="str">
        <f aca="false">IF($A28="","",ROUND(KARYAWAN!$U28*ABSENSI!H28*F28/PARAMETER!$C$8,0))</f>
        <v/>
      </c>
      <c r="M28" s="45" t="str">
        <f aca="false">IF($A28="","",ROUND(MIN((F28+G28),PARAMETER!$E$24)*PARAMETER!$C$24+MIN((F28+G28),PARAMETER!$E$25)*PARAMETER!$C$25+MIN((F28+G28),PARAMETER!$E$26)*PARAMETER!$C$26,0))</f>
        <v/>
      </c>
      <c r="N28" s="45" t="str">
        <f aca="false">IF($A28="","",F28+G28+H28+I28+J28+K28-L28+M28)</f>
        <v/>
      </c>
      <c r="O28" s="45" t="str">
        <f aca="false">IF($A28="","",X28)</f>
        <v/>
      </c>
      <c r="P28" s="45" t="str">
        <f aca="false">IF($A28="","",ROUND(MIN((F28+G28),PARAMETER!$E$22)*PARAMETER!$D$22,0))</f>
        <v/>
      </c>
      <c r="Q28" s="45" t="str">
        <f aca="false">IF($A28="","",ROUND(MIN((F28+G28),PARAMETER!$E$23)*PARAMETER!$D$23,0))</f>
        <v/>
      </c>
      <c r="R28" s="45" t="str">
        <f aca="false">IF($A28="","",ROUND(MIN((F28+G28),PARAMETER!$E$26)*PARAMETER!$D$26,0))</f>
        <v/>
      </c>
      <c r="S28" s="45" t="str">
        <f aca="false">IF($A28="","",KARYAWAN!$U28*ABSENSI!K28)</f>
        <v/>
      </c>
      <c r="T28" s="46" t="str">
        <f aca="false">IF($A28="","",F28+G28+H28+I28+J28+K28-L28-O28-P28-Q28-R28-S28)</f>
        <v/>
      </c>
      <c r="U28" s="45" t="str">
        <f aca="false">IF($A28="","",M28+ROUND(MIN((F28+G28),PARAMETER!$E$22)*PARAMETER!$C$22,0)+ROUND(MIN((F28+G28),PARAMETER!$E$23)*PARAMETER!$C$23,0))</f>
        <v/>
      </c>
      <c r="V28" s="47" t="str">
        <f aca="false">IF($A28="","",F28+G28+H28+I28+J28+K28-L28+U28)</f>
        <v/>
      </c>
      <c r="W28" s="48" t="str">
        <f aca="false">IF($A28="","",IF(E28="A",INDEX(TARIF_TER!$C$7:$C$50,MATCH(N28,TARIF_TER!$B$7:$B$50,1)),IF(E28="B",INDEX(TARIF_TER!$F$7:$F$46,MATCH(N28,TARIF_TER!$E$7:$E$46,1)),INDEX(TARIF_TER!$I$7:$I$47,MATCH(N28,TARIF_TER!$H$7:$H$47,1)))))</f>
        <v/>
      </c>
      <c r="X28" s="45" t="str">
        <f aca="false">IF($A28="","",ROUND(N28*W28,0))</f>
        <v/>
      </c>
    </row>
    <row r="29" customFormat="false" ht="15" hidden="false" customHeight="false" outlineLevel="0" collapsed="false">
      <c r="A29" s="40" t="str">
        <f aca="false">IF(KARYAWAN!A29="","",KARYAWAN!A29)</f>
        <v/>
      </c>
      <c r="B29" s="40" t="str">
        <f aca="false">IF($A29="","",KARYAWAN!B29)</f>
        <v/>
      </c>
      <c r="C29" s="40" t="str">
        <f aca="false">IF($A29="","",KARYAWAN!E29)</f>
        <v/>
      </c>
      <c r="D29" s="39" t="str">
        <f aca="false">IF($A29="","",KARYAWAN!J29)</f>
        <v/>
      </c>
      <c r="E29" s="39" t="str">
        <f aca="false">IF($A29="","",KARYAWAN!T29)</f>
        <v/>
      </c>
      <c r="F29" s="45" t="str">
        <f aca="false">IF($A29="","",KARYAWAN!$U29*KARYAWAN!K29)</f>
        <v/>
      </c>
      <c r="G29" s="45" t="str">
        <f aca="false">IF($A29="","",KARYAWAN!$U29*KARYAWAN!L29)</f>
        <v/>
      </c>
      <c r="H29" s="45" t="str">
        <f aca="false">IF($A29="","",KARYAWAN!$U29*ABSENSI!D29*PARAMETER!$C$11)</f>
        <v/>
      </c>
      <c r="I29" s="45" t="str">
        <f aca="false">IF($A29="","",KARYAWAN!$U29*ABSENSI!D29*PARAMETER!$C$12)</f>
        <v/>
      </c>
      <c r="J29" s="45" t="str">
        <f aca="false">IF($A29="","",ROUND(KARYAWAN!$U29*ABSENSI!I29*(F29+G29)/PARAMETER!$C$9*PARAMETER!$C$10,0))</f>
        <v/>
      </c>
      <c r="K29" s="45" t="str">
        <f aca="false">IF($A29="","",KARYAWAN!$U29*ABSENSI!J29)</f>
        <v/>
      </c>
      <c r="L29" s="45" t="str">
        <f aca="false">IF($A29="","",ROUND(KARYAWAN!$U29*ABSENSI!H29*F29/PARAMETER!$C$8,0))</f>
        <v/>
      </c>
      <c r="M29" s="45" t="str">
        <f aca="false">IF($A29="","",ROUND(MIN((F29+G29),PARAMETER!$E$24)*PARAMETER!$C$24+MIN((F29+G29),PARAMETER!$E$25)*PARAMETER!$C$25+MIN((F29+G29),PARAMETER!$E$26)*PARAMETER!$C$26,0))</f>
        <v/>
      </c>
      <c r="N29" s="45" t="str">
        <f aca="false">IF($A29="","",F29+G29+H29+I29+J29+K29-L29+M29)</f>
        <v/>
      </c>
      <c r="O29" s="45" t="str">
        <f aca="false">IF($A29="","",X29)</f>
        <v/>
      </c>
      <c r="P29" s="45" t="str">
        <f aca="false">IF($A29="","",ROUND(MIN((F29+G29),PARAMETER!$E$22)*PARAMETER!$D$22,0))</f>
        <v/>
      </c>
      <c r="Q29" s="45" t="str">
        <f aca="false">IF($A29="","",ROUND(MIN((F29+G29),PARAMETER!$E$23)*PARAMETER!$D$23,0))</f>
        <v/>
      </c>
      <c r="R29" s="45" t="str">
        <f aca="false">IF($A29="","",ROUND(MIN((F29+G29),PARAMETER!$E$26)*PARAMETER!$D$26,0))</f>
        <v/>
      </c>
      <c r="S29" s="45" t="str">
        <f aca="false">IF($A29="","",KARYAWAN!$U29*ABSENSI!K29)</f>
        <v/>
      </c>
      <c r="T29" s="46" t="str">
        <f aca="false">IF($A29="","",F29+G29+H29+I29+J29+K29-L29-O29-P29-Q29-R29-S29)</f>
        <v/>
      </c>
      <c r="U29" s="45" t="str">
        <f aca="false">IF($A29="","",M29+ROUND(MIN((F29+G29),PARAMETER!$E$22)*PARAMETER!$C$22,0)+ROUND(MIN((F29+G29),PARAMETER!$E$23)*PARAMETER!$C$23,0))</f>
        <v/>
      </c>
      <c r="V29" s="47" t="str">
        <f aca="false">IF($A29="","",F29+G29+H29+I29+J29+K29-L29+U29)</f>
        <v/>
      </c>
      <c r="W29" s="48" t="str">
        <f aca="false">IF($A29="","",IF(E29="A",INDEX(TARIF_TER!$C$7:$C$50,MATCH(N29,TARIF_TER!$B$7:$B$50,1)),IF(E29="B",INDEX(TARIF_TER!$F$7:$F$46,MATCH(N29,TARIF_TER!$E$7:$E$46,1)),INDEX(TARIF_TER!$I$7:$I$47,MATCH(N29,TARIF_TER!$H$7:$H$47,1)))))</f>
        <v/>
      </c>
      <c r="X29" s="45" t="str">
        <f aca="false">IF($A29="","",ROUND(N29*W29,0))</f>
        <v/>
      </c>
    </row>
    <row r="30" customFormat="false" ht="15" hidden="false" customHeight="false" outlineLevel="0" collapsed="false">
      <c r="A30" s="40" t="str">
        <f aca="false">IF(KARYAWAN!A30="","",KARYAWAN!A30)</f>
        <v/>
      </c>
      <c r="B30" s="40" t="str">
        <f aca="false">IF($A30="","",KARYAWAN!B30)</f>
        <v/>
      </c>
      <c r="C30" s="40" t="str">
        <f aca="false">IF($A30="","",KARYAWAN!E30)</f>
        <v/>
      </c>
      <c r="D30" s="39" t="str">
        <f aca="false">IF($A30="","",KARYAWAN!J30)</f>
        <v/>
      </c>
      <c r="E30" s="39" t="str">
        <f aca="false">IF($A30="","",KARYAWAN!T30)</f>
        <v/>
      </c>
      <c r="F30" s="45" t="str">
        <f aca="false">IF($A30="","",KARYAWAN!$U30*KARYAWAN!K30)</f>
        <v/>
      </c>
      <c r="G30" s="45" t="str">
        <f aca="false">IF($A30="","",KARYAWAN!$U30*KARYAWAN!L30)</f>
        <v/>
      </c>
      <c r="H30" s="45" t="str">
        <f aca="false">IF($A30="","",KARYAWAN!$U30*ABSENSI!D30*PARAMETER!$C$11)</f>
        <v/>
      </c>
      <c r="I30" s="45" t="str">
        <f aca="false">IF($A30="","",KARYAWAN!$U30*ABSENSI!D30*PARAMETER!$C$12)</f>
        <v/>
      </c>
      <c r="J30" s="45" t="str">
        <f aca="false">IF($A30="","",ROUND(KARYAWAN!$U30*ABSENSI!I30*(F30+G30)/PARAMETER!$C$9*PARAMETER!$C$10,0))</f>
        <v/>
      </c>
      <c r="K30" s="45" t="str">
        <f aca="false">IF($A30="","",KARYAWAN!$U30*ABSENSI!J30)</f>
        <v/>
      </c>
      <c r="L30" s="45" t="str">
        <f aca="false">IF($A30="","",ROUND(KARYAWAN!$U30*ABSENSI!H30*F30/PARAMETER!$C$8,0))</f>
        <v/>
      </c>
      <c r="M30" s="45" t="str">
        <f aca="false">IF($A30="","",ROUND(MIN((F30+G30),PARAMETER!$E$24)*PARAMETER!$C$24+MIN((F30+G30),PARAMETER!$E$25)*PARAMETER!$C$25+MIN((F30+G30),PARAMETER!$E$26)*PARAMETER!$C$26,0))</f>
        <v/>
      </c>
      <c r="N30" s="45" t="str">
        <f aca="false">IF($A30="","",F30+G30+H30+I30+J30+K30-L30+M30)</f>
        <v/>
      </c>
      <c r="O30" s="45" t="str">
        <f aca="false">IF($A30="","",X30)</f>
        <v/>
      </c>
      <c r="P30" s="45" t="str">
        <f aca="false">IF($A30="","",ROUND(MIN((F30+G30),PARAMETER!$E$22)*PARAMETER!$D$22,0))</f>
        <v/>
      </c>
      <c r="Q30" s="45" t="str">
        <f aca="false">IF($A30="","",ROUND(MIN((F30+G30),PARAMETER!$E$23)*PARAMETER!$D$23,0))</f>
        <v/>
      </c>
      <c r="R30" s="45" t="str">
        <f aca="false">IF($A30="","",ROUND(MIN((F30+G30),PARAMETER!$E$26)*PARAMETER!$D$26,0))</f>
        <v/>
      </c>
      <c r="S30" s="45" t="str">
        <f aca="false">IF($A30="","",KARYAWAN!$U30*ABSENSI!K30)</f>
        <v/>
      </c>
      <c r="T30" s="46" t="str">
        <f aca="false">IF($A30="","",F30+G30+H30+I30+J30+K30-L30-O30-P30-Q30-R30-S30)</f>
        <v/>
      </c>
      <c r="U30" s="45" t="str">
        <f aca="false">IF($A30="","",M30+ROUND(MIN((F30+G30),PARAMETER!$E$22)*PARAMETER!$C$22,0)+ROUND(MIN((F30+G30),PARAMETER!$E$23)*PARAMETER!$C$23,0))</f>
        <v/>
      </c>
      <c r="V30" s="47" t="str">
        <f aca="false">IF($A30="","",F30+G30+H30+I30+J30+K30-L30+U30)</f>
        <v/>
      </c>
      <c r="W30" s="48" t="str">
        <f aca="false">IF($A30="","",IF(E30="A",INDEX(TARIF_TER!$C$7:$C$50,MATCH(N30,TARIF_TER!$B$7:$B$50,1)),IF(E30="B",INDEX(TARIF_TER!$F$7:$F$46,MATCH(N30,TARIF_TER!$E$7:$E$46,1)),INDEX(TARIF_TER!$I$7:$I$47,MATCH(N30,TARIF_TER!$H$7:$H$47,1)))))</f>
        <v/>
      </c>
      <c r="X30" s="45" t="str">
        <f aca="false">IF($A30="","",ROUND(N30*W30,0))</f>
        <v/>
      </c>
    </row>
    <row r="31" customFormat="false" ht="15" hidden="false" customHeight="false" outlineLevel="0" collapsed="false">
      <c r="A31" s="40" t="str">
        <f aca="false">IF(KARYAWAN!A31="","",KARYAWAN!A31)</f>
        <v/>
      </c>
      <c r="B31" s="40" t="str">
        <f aca="false">IF($A31="","",KARYAWAN!B31)</f>
        <v/>
      </c>
      <c r="C31" s="40" t="str">
        <f aca="false">IF($A31="","",KARYAWAN!E31)</f>
        <v/>
      </c>
      <c r="D31" s="39" t="str">
        <f aca="false">IF($A31="","",KARYAWAN!J31)</f>
        <v/>
      </c>
      <c r="E31" s="39" t="str">
        <f aca="false">IF($A31="","",KARYAWAN!T31)</f>
        <v/>
      </c>
      <c r="F31" s="45" t="str">
        <f aca="false">IF($A31="","",KARYAWAN!$U31*KARYAWAN!K31)</f>
        <v/>
      </c>
      <c r="G31" s="45" t="str">
        <f aca="false">IF($A31="","",KARYAWAN!$U31*KARYAWAN!L31)</f>
        <v/>
      </c>
      <c r="H31" s="45" t="str">
        <f aca="false">IF($A31="","",KARYAWAN!$U31*ABSENSI!D31*PARAMETER!$C$11)</f>
        <v/>
      </c>
      <c r="I31" s="45" t="str">
        <f aca="false">IF($A31="","",KARYAWAN!$U31*ABSENSI!D31*PARAMETER!$C$12)</f>
        <v/>
      </c>
      <c r="J31" s="45" t="str">
        <f aca="false">IF($A31="","",ROUND(KARYAWAN!$U31*ABSENSI!I31*(F31+G31)/PARAMETER!$C$9*PARAMETER!$C$10,0))</f>
        <v/>
      </c>
      <c r="K31" s="45" t="str">
        <f aca="false">IF($A31="","",KARYAWAN!$U31*ABSENSI!J31)</f>
        <v/>
      </c>
      <c r="L31" s="45" t="str">
        <f aca="false">IF($A31="","",ROUND(KARYAWAN!$U31*ABSENSI!H31*F31/PARAMETER!$C$8,0))</f>
        <v/>
      </c>
      <c r="M31" s="45" t="str">
        <f aca="false">IF($A31="","",ROUND(MIN((F31+G31),PARAMETER!$E$24)*PARAMETER!$C$24+MIN((F31+G31),PARAMETER!$E$25)*PARAMETER!$C$25+MIN((F31+G31),PARAMETER!$E$26)*PARAMETER!$C$26,0))</f>
        <v/>
      </c>
      <c r="N31" s="45" t="str">
        <f aca="false">IF($A31="","",F31+G31+H31+I31+J31+K31-L31+M31)</f>
        <v/>
      </c>
      <c r="O31" s="45" t="str">
        <f aca="false">IF($A31="","",X31)</f>
        <v/>
      </c>
      <c r="P31" s="45" t="str">
        <f aca="false">IF($A31="","",ROUND(MIN((F31+G31),PARAMETER!$E$22)*PARAMETER!$D$22,0))</f>
        <v/>
      </c>
      <c r="Q31" s="45" t="str">
        <f aca="false">IF($A31="","",ROUND(MIN((F31+G31),PARAMETER!$E$23)*PARAMETER!$D$23,0))</f>
        <v/>
      </c>
      <c r="R31" s="45" t="str">
        <f aca="false">IF($A31="","",ROUND(MIN((F31+G31),PARAMETER!$E$26)*PARAMETER!$D$26,0))</f>
        <v/>
      </c>
      <c r="S31" s="45" t="str">
        <f aca="false">IF($A31="","",KARYAWAN!$U31*ABSENSI!K31)</f>
        <v/>
      </c>
      <c r="T31" s="46" t="str">
        <f aca="false">IF($A31="","",F31+G31+H31+I31+J31+K31-L31-O31-P31-Q31-R31-S31)</f>
        <v/>
      </c>
      <c r="U31" s="45" t="str">
        <f aca="false">IF($A31="","",M31+ROUND(MIN((F31+G31),PARAMETER!$E$22)*PARAMETER!$C$22,0)+ROUND(MIN((F31+G31),PARAMETER!$E$23)*PARAMETER!$C$23,0))</f>
        <v/>
      </c>
      <c r="V31" s="47" t="str">
        <f aca="false">IF($A31="","",F31+G31+H31+I31+J31+K31-L31+U31)</f>
        <v/>
      </c>
      <c r="W31" s="48" t="str">
        <f aca="false">IF($A31="","",IF(E31="A",INDEX(TARIF_TER!$C$7:$C$50,MATCH(N31,TARIF_TER!$B$7:$B$50,1)),IF(E31="B",INDEX(TARIF_TER!$F$7:$F$46,MATCH(N31,TARIF_TER!$E$7:$E$46,1)),INDEX(TARIF_TER!$I$7:$I$47,MATCH(N31,TARIF_TER!$H$7:$H$47,1)))))</f>
        <v/>
      </c>
      <c r="X31" s="45" t="str">
        <f aca="false">IF($A31="","",ROUND(N31*W31,0))</f>
        <v/>
      </c>
    </row>
    <row r="32" customFormat="false" ht="15" hidden="false" customHeight="false" outlineLevel="0" collapsed="false">
      <c r="A32" s="40" t="str">
        <f aca="false">IF(KARYAWAN!A32="","",KARYAWAN!A32)</f>
        <v/>
      </c>
      <c r="B32" s="40" t="str">
        <f aca="false">IF($A32="","",KARYAWAN!B32)</f>
        <v/>
      </c>
      <c r="C32" s="40" t="str">
        <f aca="false">IF($A32="","",KARYAWAN!E32)</f>
        <v/>
      </c>
      <c r="D32" s="39" t="str">
        <f aca="false">IF($A32="","",KARYAWAN!J32)</f>
        <v/>
      </c>
      <c r="E32" s="39" t="str">
        <f aca="false">IF($A32="","",KARYAWAN!T32)</f>
        <v/>
      </c>
      <c r="F32" s="45" t="str">
        <f aca="false">IF($A32="","",KARYAWAN!$U32*KARYAWAN!K32)</f>
        <v/>
      </c>
      <c r="G32" s="45" t="str">
        <f aca="false">IF($A32="","",KARYAWAN!$U32*KARYAWAN!L32)</f>
        <v/>
      </c>
      <c r="H32" s="45" t="str">
        <f aca="false">IF($A32="","",KARYAWAN!$U32*ABSENSI!D32*PARAMETER!$C$11)</f>
        <v/>
      </c>
      <c r="I32" s="45" t="str">
        <f aca="false">IF($A32="","",KARYAWAN!$U32*ABSENSI!D32*PARAMETER!$C$12)</f>
        <v/>
      </c>
      <c r="J32" s="45" t="str">
        <f aca="false">IF($A32="","",ROUND(KARYAWAN!$U32*ABSENSI!I32*(F32+G32)/PARAMETER!$C$9*PARAMETER!$C$10,0))</f>
        <v/>
      </c>
      <c r="K32" s="45" t="str">
        <f aca="false">IF($A32="","",KARYAWAN!$U32*ABSENSI!J32)</f>
        <v/>
      </c>
      <c r="L32" s="45" t="str">
        <f aca="false">IF($A32="","",ROUND(KARYAWAN!$U32*ABSENSI!H32*F32/PARAMETER!$C$8,0))</f>
        <v/>
      </c>
      <c r="M32" s="45" t="str">
        <f aca="false">IF($A32="","",ROUND(MIN((F32+G32),PARAMETER!$E$24)*PARAMETER!$C$24+MIN((F32+G32),PARAMETER!$E$25)*PARAMETER!$C$25+MIN((F32+G32),PARAMETER!$E$26)*PARAMETER!$C$26,0))</f>
        <v/>
      </c>
      <c r="N32" s="45" t="str">
        <f aca="false">IF($A32="","",F32+G32+H32+I32+J32+K32-L32+M32)</f>
        <v/>
      </c>
      <c r="O32" s="45" t="str">
        <f aca="false">IF($A32="","",X32)</f>
        <v/>
      </c>
      <c r="P32" s="45" t="str">
        <f aca="false">IF($A32="","",ROUND(MIN((F32+G32),PARAMETER!$E$22)*PARAMETER!$D$22,0))</f>
        <v/>
      </c>
      <c r="Q32" s="45" t="str">
        <f aca="false">IF($A32="","",ROUND(MIN((F32+G32),PARAMETER!$E$23)*PARAMETER!$D$23,0))</f>
        <v/>
      </c>
      <c r="R32" s="45" t="str">
        <f aca="false">IF($A32="","",ROUND(MIN((F32+G32),PARAMETER!$E$26)*PARAMETER!$D$26,0))</f>
        <v/>
      </c>
      <c r="S32" s="45" t="str">
        <f aca="false">IF($A32="","",KARYAWAN!$U32*ABSENSI!K32)</f>
        <v/>
      </c>
      <c r="T32" s="46" t="str">
        <f aca="false">IF($A32="","",F32+G32+H32+I32+J32+K32-L32-O32-P32-Q32-R32-S32)</f>
        <v/>
      </c>
      <c r="U32" s="45" t="str">
        <f aca="false">IF($A32="","",M32+ROUND(MIN((F32+G32),PARAMETER!$E$22)*PARAMETER!$C$22,0)+ROUND(MIN((F32+G32),PARAMETER!$E$23)*PARAMETER!$C$23,0))</f>
        <v/>
      </c>
      <c r="V32" s="47" t="str">
        <f aca="false">IF($A32="","",F32+G32+H32+I32+J32+K32-L32+U32)</f>
        <v/>
      </c>
      <c r="W32" s="48" t="str">
        <f aca="false">IF($A32="","",IF(E32="A",INDEX(TARIF_TER!$C$7:$C$50,MATCH(N32,TARIF_TER!$B$7:$B$50,1)),IF(E32="B",INDEX(TARIF_TER!$F$7:$F$46,MATCH(N32,TARIF_TER!$E$7:$E$46,1)),INDEX(TARIF_TER!$I$7:$I$47,MATCH(N32,TARIF_TER!$H$7:$H$47,1)))))</f>
        <v/>
      </c>
      <c r="X32" s="45" t="str">
        <f aca="false">IF($A32="","",ROUND(N32*W32,0))</f>
        <v/>
      </c>
    </row>
    <row r="33" customFormat="false" ht="15" hidden="false" customHeight="false" outlineLevel="0" collapsed="false">
      <c r="A33" s="40" t="str">
        <f aca="false">IF(KARYAWAN!A33="","",KARYAWAN!A33)</f>
        <v/>
      </c>
      <c r="B33" s="40" t="str">
        <f aca="false">IF($A33="","",KARYAWAN!B33)</f>
        <v/>
      </c>
      <c r="C33" s="40" t="str">
        <f aca="false">IF($A33="","",KARYAWAN!E33)</f>
        <v/>
      </c>
      <c r="D33" s="39" t="str">
        <f aca="false">IF($A33="","",KARYAWAN!J33)</f>
        <v/>
      </c>
      <c r="E33" s="39" t="str">
        <f aca="false">IF($A33="","",KARYAWAN!T33)</f>
        <v/>
      </c>
      <c r="F33" s="45" t="str">
        <f aca="false">IF($A33="","",KARYAWAN!$U33*KARYAWAN!K33)</f>
        <v/>
      </c>
      <c r="G33" s="45" t="str">
        <f aca="false">IF($A33="","",KARYAWAN!$U33*KARYAWAN!L33)</f>
        <v/>
      </c>
      <c r="H33" s="45" t="str">
        <f aca="false">IF($A33="","",KARYAWAN!$U33*ABSENSI!D33*PARAMETER!$C$11)</f>
        <v/>
      </c>
      <c r="I33" s="45" t="str">
        <f aca="false">IF($A33="","",KARYAWAN!$U33*ABSENSI!D33*PARAMETER!$C$12)</f>
        <v/>
      </c>
      <c r="J33" s="45" t="str">
        <f aca="false">IF($A33="","",ROUND(KARYAWAN!$U33*ABSENSI!I33*(F33+G33)/PARAMETER!$C$9*PARAMETER!$C$10,0))</f>
        <v/>
      </c>
      <c r="K33" s="45" t="str">
        <f aca="false">IF($A33="","",KARYAWAN!$U33*ABSENSI!J33)</f>
        <v/>
      </c>
      <c r="L33" s="45" t="str">
        <f aca="false">IF($A33="","",ROUND(KARYAWAN!$U33*ABSENSI!H33*F33/PARAMETER!$C$8,0))</f>
        <v/>
      </c>
      <c r="M33" s="45" t="str">
        <f aca="false">IF($A33="","",ROUND(MIN((F33+G33),PARAMETER!$E$24)*PARAMETER!$C$24+MIN((F33+G33),PARAMETER!$E$25)*PARAMETER!$C$25+MIN((F33+G33),PARAMETER!$E$26)*PARAMETER!$C$26,0))</f>
        <v/>
      </c>
      <c r="N33" s="45" t="str">
        <f aca="false">IF($A33="","",F33+G33+H33+I33+J33+K33-L33+M33)</f>
        <v/>
      </c>
      <c r="O33" s="45" t="str">
        <f aca="false">IF($A33="","",X33)</f>
        <v/>
      </c>
      <c r="P33" s="45" t="str">
        <f aca="false">IF($A33="","",ROUND(MIN((F33+G33),PARAMETER!$E$22)*PARAMETER!$D$22,0))</f>
        <v/>
      </c>
      <c r="Q33" s="45" t="str">
        <f aca="false">IF($A33="","",ROUND(MIN((F33+G33),PARAMETER!$E$23)*PARAMETER!$D$23,0))</f>
        <v/>
      </c>
      <c r="R33" s="45" t="str">
        <f aca="false">IF($A33="","",ROUND(MIN((F33+G33),PARAMETER!$E$26)*PARAMETER!$D$26,0))</f>
        <v/>
      </c>
      <c r="S33" s="45" t="str">
        <f aca="false">IF($A33="","",KARYAWAN!$U33*ABSENSI!K33)</f>
        <v/>
      </c>
      <c r="T33" s="46" t="str">
        <f aca="false">IF($A33="","",F33+G33+H33+I33+J33+K33-L33-O33-P33-Q33-R33-S33)</f>
        <v/>
      </c>
      <c r="U33" s="45" t="str">
        <f aca="false">IF($A33="","",M33+ROUND(MIN((F33+G33),PARAMETER!$E$22)*PARAMETER!$C$22,0)+ROUND(MIN((F33+G33),PARAMETER!$E$23)*PARAMETER!$C$23,0))</f>
        <v/>
      </c>
      <c r="V33" s="47" t="str">
        <f aca="false">IF($A33="","",F33+G33+H33+I33+J33+K33-L33+U33)</f>
        <v/>
      </c>
      <c r="W33" s="48" t="str">
        <f aca="false">IF($A33="","",IF(E33="A",INDEX(TARIF_TER!$C$7:$C$50,MATCH(N33,TARIF_TER!$B$7:$B$50,1)),IF(E33="B",INDEX(TARIF_TER!$F$7:$F$46,MATCH(N33,TARIF_TER!$E$7:$E$46,1)),INDEX(TARIF_TER!$I$7:$I$47,MATCH(N33,TARIF_TER!$H$7:$H$47,1)))))</f>
        <v/>
      </c>
      <c r="X33" s="45" t="str">
        <f aca="false">IF($A33="","",ROUND(N33*W33,0))</f>
        <v/>
      </c>
    </row>
    <row r="34" customFormat="false" ht="15" hidden="false" customHeight="false" outlineLevel="0" collapsed="false">
      <c r="A34" s="40" t="str">
        <f aca="false">IF(KARYAWAN!A34="","",KARYAWAN!A34)</f>
        <v/>
      </c>
      <c r="B34" s="40" t="str">
        <f aca="false">IF($A34="","",KARYAWAN!B34)</f>
        <v/>
      </c>
      <c r="C34" s="40" t="str">
        <f aca="false">IF($A34="","",KARYAWAN!E34)</f>
        <v/>
      </c>
      <c r="D34" s="39" t="str">
        <f aca="false">IF($A34="","",KARYAWAN!J34)</f>
        <v/>
      </c>
      <c r="E34" s="39" t="str">
        <f aca="false">IF($A34="","",KARYAWAN!T34)</f>
        <v/>
      </c>
      <c r="F34" s="45" t="str">
        <f aca="false">IF($A34="","",KARYAWAN!$U34*KARYAWAN!K34)</f>
        <v/>
      </c>
      <c r="G34" s="45" t="str">
        <f aca="false">IF($A34="","",KARYAWAN!$U34*KARYAWAN!L34)</f>
        <v/>
      </c>
      <c r="H34" s="45" t="str">
        <f aca="false">IF($A34="","",KARYAWAN!$U34*ABSENSI!D34*PARAMETER!$C$11)</f>
        <v/>
      </c>
      <c r="I34" s="45" t="str">
        <f aca="false">IF($A34="","",KARYAWAN!$U34*ABSENSI!D34*PARAMETER!$C$12)</f>
        <v/>
      </c>
      <c r="J34" s="45" t="str">
        <f aca="false">IF($A34="","",ROUND(KARYAWAN!$U34*ABSENSI!I34*(F34+G34)/PARAMETER!$C$9*PARAMETER!$C$10,0))</f>
        <v/>
      </c>
      <c r="K34" s="45" t="str">
        <f aca="false">IF($A34="","",KARYAWAN!$U34*ABSENSI!J34)</f>
        <v/>
      </c>
      <c r="L34" s="45" t="str">
        <f aca="false">IF($A34="","",ROUND(KARYAWAN!$U34*ABSENSI!H34*F34/PARAMETER!$C$8,0))</f>
        <v/>
      </c>
      <c r="M34" s="45" t="str">
        <f aca="false">IF($A34="","",ROUND(MIN((F34+G34),PARAMETER!$E$24)*PARAMETER!$C$24+MIN((F34+G34),PARAMETER!$E$25)*PARAMETER!$C$25+MIN((F34+G34),PARAMETER!$E$26)*PARAMETER!$C$26,0))</f>
        <v/>
      </c>
      <c r="N34" s="45" t="str">
        <f aca="false">IF($A34="","",F34+G34+H34+I34+J34+K34-L34+M34)</f>
        <v/>
      </c>
      <c r="O34" s="45" t="str">
        <f aca="false">IF($A34="","",X34)</f>
        <v/>
      </c>
      <c r="P34" s="45" t="str">
        <f aca="false">IF($A34="","",ROUND(MIN((F34+G34),PARAMETER!$E$22)*PARAMETER!$D$22,0))</f>
        <v/>
      </c>
      <c r="Q34" s="45" t="str">
        <f aca="false">IF($A34="","",ROUND(MIN((F34+G34),PARAMETER!$E$23)*PARAMETER!$D$23,0))</f>
        <v/>
      </c>
      <c r="R34" s="45" t="str">
        <f aca="false">IF($A34="","",ROUND(MIN((F34+G34),PARAMETER!$E$26)*PARAMETER!$D$26,0))</f>
        <v/>
      </c>
      <c r="S34" s="45" t="str">
        <f aca="false">IF($A34="","",KARYAWAN!$U34*ABSENSI!K34)</f>
        <v/>
      </c>
      <c r="T34" s="46" t="str">
        <f aca="false">IF($A34="","",F34+G34+H34+I34+J34+K34-L34-O34-P34-Q34-R34-S34)</f>
        <v/>
      </c>
      <c r="U34" s="45" t="str">
        <f aca="false">IF($A34="","",M34+ROUND(MIN((F34+G34),PARAMETER!$E$22)*PARAMETER!$C$22,0)+ROUND(MIN((F34+G34),PARAMETER!$E$23)*PARAMETER!$C$23,0))</f>
        <v/>
      </c>
      <c r="V34" s="47" t="str">
        <f aca="false">IF($A34="","",F34+G34+H34+I34+J34+K34-L34+U34)</f>
        <v/>
      </c>
      <c r="W34" s="48" t="str">
        <f aca="false">IF($A34="","",IF(E34="A",INDEX(TARIF_TER!$C$7:$C$50,MATCH(N34,TARIF_TER!$B$7:$B$50,1)),IF(E34="B",INDEX(TARIF_TER!$F$7:$F$46,MATCH(N34,TARIF_TER!$E$7:$E$46,1)),INDEX(TARIF_TER!$I$7:$I$47,MATCH(N34,TARIF_TER!$H$7:$H$47,1)))))</f>
        <v/>
      </c>
      <c r="X34" s="45" t="str">
        <f aca="false">IF($A34="","",ROUND(N34*W34,0))</f>
        <v/>
      </c>
    </row>
    <row r="35" customFormat="false" ht="15" hidden="false" customHeight="false" outlineLevel="0" collapsed="false">
      <c r="A35" s="40" t="str">
        <f aca="false">IF(KARYAWAN!A35="","",KARYAWAN!A35)</f>
        <v/>
      </c>
      <c r="B35" s="40" t="str">
        <f aca="false">IF($A35="","",KARYAWAN!B35)</f>
        <v/>
      </c>
      <c r="C35" s="40" t="str">
        <f aca="false">IF($A35="","",KARYAWAN!E35)</f>
        <v/>
      </c>
      <c r="D35" s="39" t="str">
        <f aca="false">IF($A35="","",KARYAWAN!J35)</f>
        <v/>
      </c>
      <c r="E35" s="39" t="str">
        <f aca="false">IF($A35="","",KARYAWAN!T35)</f>
        <v/>
      </c>
      <c r="F35" s="45" t="str">
        <f aca="false">IF($A35="","",KARYAWAN!$U35*KARYAWAN!K35)</f>
        <v/>
      </c>
      <c r="G35" s="45" t="str">
        <f aca="false">IF($A35="","",KARYAWAN!$U35*KARYAWAN!L35)</f>
        <v/>
      </c>
      <c r="H35" s="45" t="str">
        <f aca="false">IF($A35="","",KARYAWAN!$U35*ABSENSI!D35*PARAMETER!$C$11)</f>
        <v/>
      </c>
      <c r="I35" s="45" t="str">
        <f aca="false">IF($A35="","",KARYAWAN!$U35*ABSENSI!D35*PARAMETER!$C$12)</f>
        <v/>
      </c>
      <c r="J35" s="45" t="str">
        <f aca="false">IF($A35="","",ROUND(KARYAWAN!$U35*ABSENSI!I35*(F35+G35)/PARAMETER!$C$9*PARAMETER!$C$10,0))</f>
        <v/>
      </c>
      <c r="K35" s="45" t="str">
        <f aca="false">IF($A35="","",KARYAWAN!$U35*ABSENSI!J35)</f>
        <v/>
      </c>
      <c r="L35" s="45" t="str">
        <f aca="false">IF($A35="","",ROUND(KARYAWAN!$U35*ABSENSI!H35*F35/PARAMETER!$C$8,0))</f>
        <v/>
      </c>
      <c r="M35" s="45" t="str">
        <f aca="false">IF($A35="","",ROUND(MIN((F35+G35),PARAMETER!$E$24)*PARAMETER!$C$24+MIN((F35+G35),PARAMETER!$E$25)*PARAMETER!$C$25+MIN((F35+G35),PARAMETER!$E$26)*PARAMETER!$C$26,0))</f>
        <v/>
      </c>
      <c r="N35" s="45" t="str">
        <f aca="false">IF($A35="","",F35+G35+H35+I35+J35+K35-L35+M35)</f>
        <v/>
      </c>
      <c r="O35" s="45" t="str">
        <f aca="false">IF($A35="","",X35)</f>
        <v/>
      </c>
      <c r="P35" s="45" t="str">
        <f aca="false">IF($A35="","",ROUND(MIN((F35+G35),PARAMETER!$E$22)*PARAMETER!$D$22,0))</f>
        <v/>
      </c>
      <c r="Q35" s="45" t="str">
        <f aca="false">IF($A35="","",ROUND(MIN((F35+G35),PARAMETER!$E$23)*PARAMETER!$D$23,0))</f>
        <v/>
      </c>
      <c r="R35" s="45" t="str">
        <f aca="false">IF($A35="","",ROUND(MIN((F35+G35),PARAMETER!$E$26)*PARAMETER!$D$26,0))</f>
        <v/>
      </c>
      <c r="S35" s="45" t="str">
        <f aca="false">IF($A35="","",KARYAWAN!$U35*ABSENSI!K35)</f>
        <v/>
      </c>
      <c r="T35" s="46" t="str">
        <f aca="false">IF($A35="","",F35+G35+H35+I35+J35+K35-L35-O35-P35-Q35-R35-S35)</f>
        <v/>
      </c>
      <c r="U35" s="45" t="str">
        <f aca="false">IF($A35="","",M35+ROUND(MIN((F35+G35),PARAMETER!$E$22)*PARAMETER!$C$22,0)+ROUND(MIN((F35+G35),PARAMETER!$E$23)*PARAMETER!$C$23,0))</f>
        <v/>
      </c>
      <c r="V35" s="47" t="str">
        <f aca="false">IF($A35="","",F35+G35+H35+I35+J35+K35-L35+U35)</f>
        <v/>
      </c>
      <c r="W35" s="48" t="str">
        <f aca="false">IF($A35="","",IF(E35="A",INDEX(TARIF_TER!$C$7:$C$50,MATCH(N35,TARIF_TER!$B$7:$B$50,1)),IF(E35="B",INDEX(TARIF_TER!$F$7:$F$46,MATCH(N35,TARIF_TER!$E$7:$E$46,1)),INDEX(TARIF_TER!$I$7:$I$47,MATCH(N35,TARIF_TER!$H$7:$H$47,1)))))</f>
        <v/>
      </c>
      <c r="X35" s="45" t="str">
        <f aca="false">IF($A35="","",ROUND(N35*W35,0))</f>
        <v/>
      </c>
    </row>
  </sheetData>
  <sheetProtection sheet="true" formatColumns="false" formatRows="false"/>
  <mergeCells count="2">
    <mergeCell ref="A3:X3"/>
    <mergeCell ref="A4:E4"/>
  </mergeCells>
  <conditionalFormatting sqref="T6:T35">
    <cfRule type="expression" priority="2" aboveAverage="0" equalAverage="0" bottom="0" percent="0" rank="0" text="" dxfId="6">
      <formula>AND(ISNUMBER(T6),T6&lt;0)</formula>
    </cfRule>
  </conditionalFormatting>
  <conditionalFormatting sqref="V6:V35">
    <cfRule type="expression" priority="3" aboveAverage="0" equalAverage="0" bottom="0" percent="0" rank="0" text="" dxfId="6">
      <formula>AND(ISNUMBER(V6),V6&lt;0)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5" min="3" style="0" width="20"/>
  </cols>
  <sheetData>
    <row r="1" customFormat="false" ht="24" hidden="false" customHeight="true" outlineLevel="0" collapsed="false">
      <c r="A1" s="13" t="s">
        <v>256</v>
      </c>
    </row>
    <row r="3" customFormat="false" ht="15" hidden="false" customHeight="false" outlineLevel="0" collapsed="false">
      <c r="A3" s="15" t="s">
        <v>44</v>
      </c>
      <c r="B3" s="15"/>
      <c r="C3" s="15"/>
      <c r="D3" s="15"/>
      <c r="E3" s="15"/>
    </row>
    <row r="5" customFormat="false" ht="33.75" hidden="false" customHeight="true" outlineLevel="0" collapsed="false">
      <c r="A5" s="25" t="s">
        <v>95</v>
      </c>
      <c r="B5" s="25" t="s">
        <v>257</v>
      </c>
      <c r="C5" s="25" t="s">
        <v>258</v>
      </c>
      <c r="D5" s="25" t="s">
        <v>259</v>
      </c>
      <c r="E5" s="25" t="s">
        <v>260</v>
      </c>
    </row>
    <row r="6" customFormat="false" ht="15" hidden="false" customHeight="false" outlineLevel="0" collapsed="false">
      <c r="A6" s="40" t="str">
        <f aca="false">IF(PARAMETER!B42="","",PARAMETER!B42)</f>
        <v>Operasional</v>
      </c>
      <c r="B6" s="37" t="n">
        <f aca="false">IF($A6="","",COUNTIFS(KARYAWAN!$E$6:$E$35,$A6,KARYAWAN!$U$6:$U$35,1))</f>
        <v>3</v>
      </c>
      <c r="C6" s="45" t="n">
        <f aca="false">IF($A6="","",SUMIFS(PAYROLL!$V$6:$V$35,PAYROLL!$C$6:$C$35,$A6))</f>
        <v>39680469</v>
      </c>
      <c r="D6" s="45" t="n">
        <f aca="false">IF($A6="","",SUMIFS(PAYROLL!$T$6:$T$35,PAYROLL!$C$6:$C$35,$A6))</f>
        <v>33832970</v>
      </c>
      <c r="E6" s="45" t="n">
        <f aca="false">IF($A6="","",SUMIFS(PAYROLL!$O$6:$O$35,PAYROLL!$C$6:$C$35,$A6))</f>
        <v>1461755</v>
      </c>
    </row>
    <row r="7" customFormat="false" ht="15" hidden="false" customHeight="false" outlineLevel="0" collapsed="false">
      <c r="A7" s="40" t="str">
        <f aca="false">IF(PARAMETER!B43="","",PARAMETER!B43)</f>
        <v>Keuangan</v>
      </c>
      <c r="B7" s="37" t="n">
        <f aca="false">IF($A7="","",COUNTIFS(KARYAWAN!$E$6:$E$35,$A7,KARYAWAN!$U$6:$U$35,1))</f>
        <v>4</v>
      </c>
      <c r="C7" s="45" t="n">
        <f aca="false">IF($A7="","",SUMIFS(PAYROLL!$V$6:$V$35,PAYROLL!$C$6:$C$35,$A7))</f>
        <v>52366242</v>
      </c>
      <c r="D7" s="45" t="n">
        <f aca="false">IF($A7="","",SUMIFS(PAYROLL!$T$6:$T$35,PAYROLL!$C$6:$C$35,$A7))</f>
        <v>43941832</v>
      </c>
      <c r="E7" s="45" t="n">
        <f aca="false">IF($A7="","",SUMIFS(PAYROLL!$O$6:$O$35,PAYROLL!$C$6:$C$35,$A7))</f>
        <v>1899988</v>
      </c>
    </row>
    <row r="8" customFormat="false" ht="15" hidden="false" customHeight="false" outlineLevel="0" collapsed="false">
      <c r="A8" s="40" t="str">
        <f aca="false">IF(PARAMETER!B44="","",PARAMETER!B44)</f>
        <v>Pemasaran</v>
      </c>
      <c r="B8" s="37" t="n">
        <f aca="false">IF($A8="","",COUNTIFS(KARYAWAN!$E$6:$E$35,$A8,KARYAWAN!$U$6:$U$35,1))</f>
        <v>0</v>
      </c>
      <c r="C8" s="45" t="n">
        <f aca="false">IF($A8="","",SUMIFS(PAYROLL!$V$6:$V$35,PAYROLL!$C$6:$C$35,$A8))</f>
        <v>0</v>
      </c>
      <c r="D8" s="45" t="n">
        <f aca="false">IF($A8="","",SUMIFS(PAYROLL!$T$6:$T$35,PAYROLL!$C$6:$C$35,$A8))</f>
        <v>0</v>
      </c>
      <c r="E8" s="45" t="n">
        <f aca="false">IF($A8="","",SUMIFS(PAYROLL!$O$6:$O$35,PAYROLL!$C$6:$C$35,$A8))</f>
        <v>0</v>
      </c>
    </row>
    <row r="9" customFormat="false" ht="15" hidden="false" customHeight="false" outlineLevel="0" collapsed="false">
      <c r="A9" s="40" t="str">
        <f aca="false">IF(PARAMETER!B45="","",PARAMETER!B45)</f>
        <v>SDM</v>
      </c>
      <c r="B9" s="37" t="n">
        <f aca="false">IF($A9="","",COUNTIFS(KARYAWAN!$E$6:$E$35,$A9,KARYAWAN!$U$6:$U$35,1))</f>
        <v>4</v>
      </c>
      <c r="C9" s="45" t="n">
        <f aca="false">IF($A9="","",SUMIFS(PAYROLL!$V$6:$V$35,PAYROLL!$C$6:$C$35,$A9))</f>
        <v>52287617</v>
      </c>
      <c r="D9" s="45" t="n">
        <f aca="false">IF($A9="","",SUMIFS(PAYROLL!$T$6:$T$35,PAYROLL!$C$6:$C$35,$A9))</f>
        <v>44045099</v>
      </c>
      <c r="E9" s="45" t="n">
        <f aca="false">IF($A9="","",SUMIFS(PAYROLL!$O$6:$O$35,PAYROLL!$C$6:$C$35,$A9))</f>
        <v>2209594</v>
      </c>
    </row>
    <row r="10" customFormat="false" ht="15" hidden="false" customHeight="false" outlineLevel="0" collapsed="false">
      <c r="A10" s="40" t="str">
        <f aca="false">IF(PARAMETER!B46="","",PARAMETER!B46)</f>
        <v>Teknologi</v>
      </c>
      <c r="B10" s="37" t="n">
        <f aca="false">IF($A10="","",COUNTIFS(KARYAWAN!$E$6:$E$35,$A10,KARYAWAN!$U$6:$U$35,1))</f>
        <v>8</v>
      </c>
      <c r="C10" s="45" t="n">
        <f aca="false">IF($A10="","",SUMIFS(PAYROLL!$V$6:$V$35,PAYROLL!$C$6:$C$35,$A10))</f>
        <v>180428458</v>
      </c>
      <c r="D10" s="45" t="n">
        <f aca="false">IF($A10="","",SUMIFS(PAYROLL!$T$6:$T$35,PAYROLL!$C$6:$C$35,$A10))</f>
        <v>142560946</v>
      </c>
      <c r="E10" s="45" t="n">
        <f aca="false">IF($A10="","",SUMIFS(PAYROLL!$O$6:$O$35,PAYROLL!$C$6:$C$35,$A10))</f>
        <v>19762080</v>
      </c>
    </row>
    <row r="11" customFormat="false" ht="15" hidden="false" customHeight="false" outlineLevel="0" collapsed="false">
      <c r="A11" s="40" t="str">
        <f aca="false">IF(PARAMETER!B47="","",PARAMETER!B47)</f>
        <v>Penjualan</v>
      </c>
      <c r="B11" s="37" t="n">
        <f aca="false">IF($A11="","",COUNTIFS(KARYAWAN!$E$6:$E$35,$A11,KARYAWAN!$U$6:$U$35,1))</f>
        <v>0</v>
      </c>
      <c r="C11" s="45" t="n">
        <f aca="false">IF($A11="","",SUMIFS(PAYROLL!$V$6:$V$35,PAYROLL!$C$6:$C$35,$A11))</f>
        <v>0</v>
      </c>
      <c r="D11" s="45" t="n">
        <f aca="false">IF($A11="","",SUMIFS(PAYROLL!$T$6:$T$35,PAYROLL!$C$6:$C$35,$A11))</f>
        <v>0</v>
      </c>
      <c r="E11" s="45" t="n">
        <f aca="false">IF($A11="","",SUMIFS(PAYROLL!$O$6:$O$35,PAYROLL!$C$6:$C$35,$A11))</f>
        <v>0</v>
      </c>
    </row>
    <row r="12" customFormat="false" ht="15" hidden="false" customHeight="false" outlineLevel="0" collapsed="false">
      <c r="A12" s="40" t="str">
        <f aca="false">IF(PARAMETER!B48="","",PARAMETER!B48)</f>
        <v/>
      </c>
      <c r="B12" s="37" t="str">
        <f aca="false">IF($A12="","",COUNTIFS(KARYAWAN!$E$6:$E$35,$A12,KARYAWAN!$U$6:$U$35,1))</f>
        <v/>
      </c>
      <c r="C12" s="45" t="str">
        <f aca="false">IF($A12="","",SUMIFS(PAYROLL!$V$6:$V$35,PAYROLL!$C$6:$C$35,$A12))</f>
        <v/>
      </c>
      <c r="D12" s="45" t="str">
        <f aca="false">IF($A12="","",SUMIFS(PAYROLL!$T$6:$T$35,PAYROLL!$C$6:$C$35,$A12))</f>
        <v/>
      </c>
      <c r="E12" s="45" t="str">
        <f aca="false">IF($A12="","",SUMIFS(PAYROLL!$O$6:$O$35,PAYROLL!$C$6:$C$35,$A12))</f>
        <v/>
      </c>
    </row>
    <row r="13" customFormat="false" ht="15" hidden="false" customHeight="false" outlineLevel="0" collapsed="false">
      <c r="A13" s="40" t="str">
        <f aca="false">IF(PARAMETER!B49="","",PARAMETER!B49)</f>
        <v/>
      </c>
      <c r="B13" s="37" t="str">
        <f aca="false">IF($A13="","",COUNTIFS(KARYAWAN!$E$6:$E$35,$A13,KARYAWAN!$U$6:$U$35,1))</f>
        <v/>
      </c>
      <c r="C13" s="45" t="str">
        <f aca="false">IF($A13="","",SUMIFS(PAYROLL!$V$6:$V$35,PAYROLL!$C$6:$C$35,$A13))</f>
        <v/>
      </c>
      <c r="D13" s="45" t="str">
        <f aca="false">IF($A13="","",SUMIFS(PAYROLL!$T$6:$T$35,PAYROLL!$C$6:$C$35,$A13))</f>
        <v/>
      </c>
      <c r="E13" s="45" t="str">
        <f aca="false">IF($A13="","",SUMIFS(PAYROLL!$O$6:$O$35,PAYROLL!$C$6:$C$35,$A13))</f>
        <v/>
      </c>
    </row>
    <row r="14" customFormat="false" ht="15" hidden="false" customHeight="false" outlineLevel="0" collapsed="false">
      <c r="A14" s="42" t="s">
        <v>237</v>
      </c>
      <c r="B14" s="49" t="n">
        <f aca="false">SUM(B6:B13)</f>
        <v>19</v>
      </c>
      <c r="C14" s="43" t="n">
        <f aca="false">SUM(C6:C13)</f>
        <v>324762786</v>
      </c>
      <c r="D14" s="43" t="n">
        <f aca="false">SUM(D6:D13)</f>
        <v>264380847</v>
      </c>
      <c r="E14" s="43" t="n">
        <f aca="false">SUM(E6:E13)</f>
        <v>25333417</v>
      </c>
    </row>
  </sheetData>
  <sheetProtection sheet="true" formatColumns="false" formatRows="false"/>
  <mergeCells count="1">
    <mergeCell ref="A3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2026-10-29T16:50:46Z</dcterms:created>
  <dc:creator>Mantam Product</dc:creator>
  <dc:description/>
  <dc:language>en-US</dc:language>
  <cp:lastModifiedBy/>
  <dcterms:modified xsi:type="dcterms:W3CDTF">2026-10-29T23:51:02Z</dcterms:modified>
  <cp:revision>1</cp:revision>
  <dc:subject>Lisensi: demo</dc:subject>
  <dc:title>HRMS Enterprise (Demo)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