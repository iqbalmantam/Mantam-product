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PARAMETER" sheetId="2" state="visible" r:id="rId2"/>
    <sheet xmlns:r="http://schemas.openxmlformats.org/officeDocument/2006/relationships" name="ASET" sheetId="3" state="visible" r:id="rId3"/>
    <sheet xmlns:r="http://schemas.openxmlformats.org/officeDocument/2006/relationships" name="RINGKASAN" sheetId="4" state="visible" r:id="rId4"/>
  </sheets>
  <definedNames>
    <definedName name="_xlnm._FilterDatabase" localSheetId="2" hidden="1">'ASET'!$A$5:$N$25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m-yyyy"/>
    <numFmt numFmtId="166" formatCode="#,##0;(#,##0);&quot;-&quot;"/>
    <numFmt numFmtId="167" formatCode="0.0%;(0.0%);&quot;-&quot;"/>
  </numFmts>
  <fonts count="13">
    <font>
      <name val="Calibri"/>
      <family val="2"/>
      <color theme="1"/>
      <sz val="11"/>
      <scheme val="minor"/>
    </font>
    <font>
      <name val="Arial"/>
      <b val="1"/>
      <color rgb="000EA5A4"/>
      <sz val="11"/>
    </font>
    <font>
      <name val="Arial"/>
      <b val="1"/>
      <color rgb="000B1A30"/>
      <sz val="18"/>
    </font>
    <font>
      <name val="Arial"/>
      <color rgb="0033445C"/>
      <sz val="10"/>
    </font>
    <font>
      <name val="Arial"/>
      <b val="1"/>
      <color rgb="000B1A30"/>
      <sz val="10"/>
    </font>
    <font>
      <name val="Arial"/>
      <b val="1"/>
      <color rgb="00B9770E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B1A30"/>
      <sz val="16"/>
    </font>
    <font>
      <name val="Arial"/>
      <i val="1"/>
      <color rgb="005B6B82"/>
      <sz val="10"/>
    </font>
    <font>
      <name val="Arial"/>
      <b val="1"/>
      <color rgb="00B9770E"/>
      <sz val="9"/>
    </font>
  </fonts>
  <fills count="7">
    <fill>
      <patternFill/>
    </fill>
    <fill>
      <patternFill patternType="gray125"/>
    </fill>
    <fill>
      <patternFill patternType="solid">
        <fgColor rgb="000EA5A4"/>
      </patternFill>
    </fill>
    <fill>
      <patternFill patternType="solid">
        <fgColor rgb="00FFF2CC"/>
      </patternFill>
    </fill>
    <fill>
      <patternFill patternType="solid">
        <fgColor rgb="00FDEBD0"/>
      </patternFill>
    </fill>
    <fill>
      <patternFill patternType="solid">
        <fgColor rgb="000B1A30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0" fillId="2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pivotButton="0" quotePrefix="0" xfId="0"/>
    <xf numFmtId="0" fontId="8" fillId="0" borderId="0" pivotButton="0" quotePrefix="0" xfId="0"/>
    <xf numFmtId="0" fontId="9" fillId="3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vertical="center"/>
    </xf>
    <xf numFmtId="0" fontId="7" fillId="0" borderId="1" pivotButton="0" quotePrefix="0" xfId="0"/>
    <xf numFmtId="165" fontId="9" fillId="3" borderId="1" applyProtection="1" pivotButton="0" quotePrefix="0" xfId="0">
      <protection locked="0" hidden="0"/>
    </xf>
    <xf numFmtId="0" fontId="6" fillId="5" borderId="1" applyAlignment="1" pivotButton="0" quotePrefix="0" xfId="0">
      <alignment horizontal="center" vertical="center" wrapText="1"/>
    </xf>
    <xf numFmtId="0" fontId="9" fillId="0" borderId="1" applyProtection="1" pivotButton="0" quotePrefix="0" xfId="0">
      <protection locked="0" hidden="0"/>
    </xf>
    <xf numFmtId="1" fontId="9" fillId="0" borderId="1" applyAlignment="1" applyProtection="1" pivotButton="0" quotePrefix="0" xfId="0">
      <alignment horizontal="center" vertical="center"/>
      <protection locked="0" hidden="0"/>
    </xf>
    <xf numFmtId="0" fontId="11" fillId="0" borderId="1" pivotButton="0" quotePrefix="0" xfId="0"/>
    <xf numFmtId="165" fontId="9" fillId="0" borderId="1" applyProtection="1" pivotButton="0" quotePrefix="0" xfId="0">
      <protection locked="0" hidden="0"/>
    </xf>
    <xf numFmtId="166" fontId="9" fillId="0" borderId="1" applyProtection="1" pivotButton="0" quotePrefix="0" xfId="0">
      <protection locked="0" hidden="0"/>
    </xf>
    <xf numFmtId="1" fontId="8" fillId="0" borderId="1" applyAlignment="1" pivotButton="0" quotePrefix="0" xfId="0">
      <alignment horizontal="center" vertical="center"/>
    </xf>
    <xf numFmtId="166" fontId="8" fillId="0" borderId="1" pivotButton="0" quotePrefix="0" xfId="0"/>
    <xf numFmtId="166" fontId="7" fillId="0" borderId="1" pivotButton="0" quotePrefix="0" xfId="0"/>
    <xf numFmtId="0" fontId="8" fillId="0" borderId="1" applyAlignment="1" pivotButton="0" quotePrefix="0" xfId="0">
      <alignment horizontal="center" vertical="center"/>
    </xf>
    <xf numFmtId="0" fontId="8" fillId="0" borderId="1" pivotButton="0" quotePrefix="0" xfId="0"/>
    <xf numFmtId="167" fontId="8" fillId="0" borderId="1" pivotButton="0" quotePrefix="0" xfId="0"/>
    <xf numFmtId="0" fontId="7" fillId="6" borderId="1" pivotButton="0" quotePrefix="0" xfId="0"/>
    <xf numFmtId="1" fontId="7" fillId="6" borderId="1" applyAlignment="1" pivotButton="0" quotePrefix="0" xfId="0">
      <alignment horizontal="center" vertical="center"/>
    </xf>
    <xf numFmtId="166" fontId="7" fillId="6" borderId="1" pivotButton="0" quotePrefix="0" xfId="0"/>
    <xf numFmtId="167" fontId="7" fillId="6" borderId="1" pivotButton="0" quotePrefix="0" xfId="0"/>
  </cellXfs>
  <cellStyles count="1">
    <cellStyle name="Normal" xfId="0" builtinId="0" hidden="0"/>
  </cellStyles>
  <dxfs count="1">
    <dxf>
      <font>
        <name val="Arial"/>
        <b val="1"/>
        <color rgb="00B9770E"/>
        <sz val="10"/>
      </font>
      <fill>
        <patternFill patternType="solid">
          <fgColor rgb="00FCF3C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Harga Perolehan vs Nilai Buku per Kategori (Rp juta)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'RINGKASAN'!C5</f>
            </strRef>
          </tx>
          <spPr>
            <a:solidFill xmlns:a="http://schemas.openxmlformats.org/drawingml/2006/main">
              <a:srgbClr val="0EA5A4"/>
            </a:solidFill>
            <a:ln xmlns:a="http://schemas.openxmlformats.org/drawingml/2006/main">
              <a:solidFill>
                <a:srgbClr val="0EA5A4"/>
              </a:solidFill>
              <a:prstDash val="solid"/>
            </a:ln>
          </spPr>
          <cat>
            <numRef>
              <f>'RINGKASAN'!$A$6:$A$11</f>
            </numRef>
          </cat>
          <val>
            <numRef>
              <f>'RINGKASAN'!$C$6:$C$11</f>
            </numRef>
          </val>
        </ser>
        <ser>
          <idx val="1"/>
          <order val="1"/>
          <tx>
            <strRef>
              <f>'RINGKASAN'!E5</f>
            </strRef>
          </tx>
          <spPr>
            <a:solidFill xmlns:a="http://schemas.openxmlformats.org/drawingml/2006/main">
              <a:srgbClr val="2563EB"/>
            </a:solidFill>
            <a:ln xmlns:a="http://schemas.openxmlformats.org/drawingml/2006/main">
              <a:solidFill>
                <a:srgbClr val="2563EB"/>
              </a:solidFill>
              <a:prstDash val="solid"/>
            </a:ln>
          </spPr>
          <cat>
            <numRef>
              <f>'RINGKASAN'!$A$6:$A$11</f>
            </numRef>
          </cat>
          <val>
            <numRef>
              <f>'RINGKASAN'!$E$6:$E$11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3E8F1"/>
              </a:solidFill>
              <a:prstDash val="solid"/>
            </a:ln>
          </spPr>
        </majorGridlines>
        <numFmt formatCode="#,##0,,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576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90" customWidth="1" min="3" max="3"/>
  </cols>
  <sheetData>
    <row r="1">
      <c r="B1" s="1" t="inlineStr">
        <is>
          <t>Mantam Product</t>
        </is>
      </c>
    </row>
    <row r="2" ht="28" customHeight="1">
      <c r="B2" s="2" t="inlineStr">
        <is>
          <t>Register Aset Tetap &amp; Penyusutan</t>
        </is>
      </c>
    </row>
    <row r="3" ht="44" customHeight="1">
      <c r="B3" s="3" t="inlineStr">
        <is>
          <t>Kelola daftar aset tetap, hitung penyusutan otomatis, dan lihat nilai buku kapan saja.</t>
        </is>
      </c>
    </row>
    <row r="5">
      <c r="B5" s="4" t="inlineStr">
        <is>
          <t>Lisensi</t>
        </is>
      </c>
      <c r="C5" s="5" t="inlineStr">
        <is>
          <t>VERSI DEMO. Kapasitas dan fitur dibatasi. Pesan versi lengkap: WhatsApp 089623291732</t>
        </is>
      </c>
    </row>
    <row r="7">
      <c r="B7" s="6" t="inlineStr">
        <is>
          <t>Cara memakai</t>
        </is>
      </c>
      <c r="C7" s="7" t="n"/>
    </row>
    <row r="8" ht="16" customHeight="1">
      <c r="B8" s="8" t="inlineStr">
        <is>
          <t>Langkah 1</t>
        </is>
      </c>
      <c r="C8" s="9" t="inlineStr">
        <is>
          <t>Isi tanggal laporan di PARAMETER.</t>
        </is>
      </c>
    </row>
    <row r="9" ht="30" customHeight="1">
      <c r="B9" s="8" t="inlineStr">
        <is>
          <t>Langkah 2</t>
        </is>
      </c>
      <c r="C9" s="9" t="inlineStr">
        <is>
          <t>Catat aset di ASET: kode, nama, kategori, tanggal perolehan, harga, umur ekonomis (tahun), nilai residu.</t>
        </is>
      </c>
    </row>
    <row r="10" ht="16" customHeight="1">
      <c r="B10" s="8" t="inlineStr">
        <is>
          <t>Langkah 3</t>
        </is>
      </c>
      <c r="C10" s="9" t="inlineStr">
        <is>
          <t>Lihat akumulasi, nilai buku, dan penyusutan tahun berjalan di kolom otomatis.</t>
        </is>
      </c>
    </row>
    <row r="11" ht="16" customHeight="1">
      <c r="B11" s="8" t="inlineStr">
        <is>
          <t>Langkah 4</t>
        </is>
      </c>
      <c r="C11" s="9" t="inlineStr">
        <is>
          <t>Rekap per kategori ada di RINGKASAN.</t>
        </is>
      </c>
    </row>
    <row r="13">
      <c r="B13" s="6" t="inlineStr">
        <is>
          <t>Isi berkas</t>
        </is>
      </c>
      <c r="C13" s="7" t="n"/>
    </row>
    <row r="14" ht="16" customHeight="1">
      <c r="B14" s="8" t="inlineStr">
        <is>
          <t>PARAMETER</t>
        </is>
      </c>
      <c r="C14" s="9" t="inlineStr">
        <is>
          <t>Tanggal laporan dan daftar kategori aset.</t>
        </is>
      </c>
    </row>
    <row r="15" ht="16" customHeight="1">
      <c r="B15" s="8" t="inlineStr">
        <is>
          <t>ASET</t>
        </is>
      </c>
      <c r="C15" s="9" t="inlineStr">
        <is>
          <t>Register aset (kapasitas 20): harga, umur, residu, metode; akumulasi dan nilai buku otomatis.</t>
        </is>
      </c>
    </row>
    <row r="16" ht="16" customHeight="1">
      <c r="B16" s="8" t="inlineStr">
        <is>
          <t>RINGKASAN</t>
        </is>
      </c>
      <c r="C16" s="9" t="inlineStr">
        <is>
          <t>Rekap per kategori: jumlah, harga perolehan, akumulasi, nilai buku, penyusutan tahun berjalan.</t>
        </is>
      </c>
    </row>
    <row r="18">
      <c r="B18" s="6" t="inlineStr">
        <is>
          <t>Legenda warna</t>
        </is>
      </c>
      <c r="C18" s="7" t="n"/>
    </row>
    <row r="19">
      <c r="B19" s="10" t="inlineStr">
        <is>
          <t>Teks biru</t>
        </is>
      </c>
      <c r="C19" s="11" t="inlineStr">
        <is>
          <t>Sel input: boleh Anda ubah (tidak terkunci).</t>
        </is>
      </c>
    </row>
    <row r="20">
      <c r="B20" s="12" t="inlineStr">
        <is>
          <t>Sel kuning</t>
        </is>
      </c>
      <c r="C20" s="11" t="inlineStr">
        <is>
          <t>Parameter kunci: periksa terlebih dulu.</t>
        </is>
      </c>
    </row>
    <row r="21">
      <c r="B21" s="11" t="inlineStr">
        <is>
          <t>Teks hitam</t>
        </is>
      </c>
      <c r="C21" s="11" t="inlineStr">
        <is>
          <t>Rumus otomatis (terkunci; Review &gt; Unprotect Sheet tanpa kata sandi bila perlu).</t>
        </is>
      </c>
    </row>
    <row r="23">
      <c r="B23" s="6" t="inlineStr">
        <is>
          <t>Catatan</t>
        </is>
      </c>
      <c r="C23" s="7" t="n"/>
    </row>
    <row r="24" ht="16" customHeight="1">
      <c r="C24" s="9" t="inlineStr">
        <is>
          <t>• Seluruh data adalah simulasi buatan, bukan data perusahaan nyata.</t>
        </is>
      </c>
    </row>
    <row r="25" ht="30" customHeight="1">
      <c r="C25" s="9" t="inlineStr">
        <is>
          <t>• Hasil perhitungan adalah alat bantu; verifikasi dengan akuntan/konsultan sebelum dipakai untuk keputusan atau pelaporan resmi.</t>
        </is>
      </c>
    </row>
    <row r="26" ht="16" customHeight="1">
      <c r="C26" s="9" t="inlineStr">
        <is>
          <t>• Penyusutan dimulai pada bulan setelah bulan perolehan.</t>
        </is>
      </c>
    </row>
    <row r="27" ht="30" customHeight="1">
      <c r="C27" s="9" t="inlineStr">
        <is>
          <t>• Saldo menurun ganda (DDB) dibatasi sampai nilai residu. Umur dan metode pajak/komersial dapat berbeda; sesuaikan kebijakan Anda.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B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22" customWidth="1" min="3" max="3"/>
    <col width="40" customWidth="1" min="4" max="4"/>
  </cols>
  <sheetData>
    <row r="1" ht="24" customHeight="1">
      <c r="A1" s="13" t="inlineStr">
        <is>
          <t>Parameter</t>
        </is>
      </c>
    </row>
    <row r="2">
      <c r="A2" s="14" t="inlineStr">
        <is>
          <t>Isi sel kuning.</t>
        </is>
      </c>
    </row>
    <row r="3">
      <c r="A3" s="15" t="inlineStr">
        <is>
          <t>VERSI DEMO: kapasitas &amp; fitur dibatasi, data simulasi. Versi lengkap: WhatsApp 089623291732</t>
        </is>
      </c>
    </row>
    <row r="5">
      <c r="B5" s="16" t="inlineStr">
        <is>
          <t>Tanggal laporan</t>
        </is>
      </c>
      <c r="C5" s="17" t="n">
        <v>46326</v>
      </c>
    </row>
    <row r="8">
      <c r="B8" s="6" t="inlineStr">
        <is>
          <t>KATEGORI ASET</t>
        </is>
      </c>
      <c r="C8" s="7" t="n"/>
      <c r="D8" s="7" t="n"/>
    </row>
    <row r="9" ht="22" customHeight="1">
      <c r="B9" s="18" t="inlineStr">
        <is>
          <t>Kategori</t>
        </is>
      </c>
      <c r="C9" s="18" t="inlineStr">
        <is>
          <t>Umur umum (tahun)</t>
        </is>
      </c>
      <c r="D9" s="18" t="inlineStr">
        <is>
          <t>Keterangan</t>
        </is>
      </c>
    </row>
    <row r="10">
      <c r="B10" s="19" t="inlineStr">
        <is>
          <t>Bangunan</t>
        </is>
      </c>
      <c r="C10" s="20" t="n">
        <v>20</v>
      </c>
      <c r="D10" s="21" t="inlineStr">
        <is>
          <t>Bangunan permanen</t>
        </is>
      </c>
    </row>
    <row r="11">
      <c r="B11" s="19" t="inlineStr">
        <is>
          <t>Mesin Produksi</t>
        </is>
      </c>
      <c r="C11" s="20" t="n">
        <v>16</v>
      </c>
      <c r="D11" s="21" t="inlineStr">
        <is>
          <t>Mesin &amp; peralatan berat</t>
        </is>
      </c>
    </row>
    <row r="12">
      <c r="B12" s="19" t="inlineStr">
        <is>
          <t>Kendaraan</t>
        </is>
      </c>
      <c r="C12" s="20" t="n">
        <v>8</v>
      </c>
      <c r="D12" s="21" t="inlineStr">
        <is>
          <t>Mobil, motor, truk</t>
        </is>
      </c>
    </row>
    <row r="13">
      <c r="B13" s="19" t="inlineStr">
        <is>
          <t>Peralatan Kantor</t>
        </is>
      </c>
      <c r="C13" s="20" t="n">
        <v>8</v>
      </c>
      <c r="D13" s="21" t="inlineStr">
        <is>
          <t>Alat tulis &amp; peralatan</t>
        </is>
      </c>
    </row>
    <row r="14">
      <c r="B14" s="19" t="inlineStr">
        <is>
          <t>Komputer &amp; IT</t>
        </is>
      </c>
      <c r="C14" s="20" t="n">
        <v>4</v>
      </c>
      <c r="D14" s="21" t="inlineStr">
        <is>
          <t>Komputer, server, jaringan</t>
        </is>
      </c>
    </row>
    <row r="15">
      <c r="B15" s="19" t="inlineStr">
        <is>
          <t>Furnitur</t>
        </is>
      </c>
      <c r="C15" s="20" t="n">
        <v>8</v>
      </c>
      <c r="D15" s="21" t="inlineStr">
        <is>
          <t>Meja, kursi, lemari</t>
        </is>
      </c>
    </row>
    <row r="16">
      <c r="B16" s="19" t="n"/>
      <c r="C16" s="20" t="n"/>
      <c r="D16" s="21" t="n"/>
    </row>
    <row r="17">
      <c r="B17" s="19" t="n"/>
      <c r="C17" s="20" t="n"/>
      <c r="D17" s="21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A3:D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13" customWidth="1" min="4" max="4"/>
    <col width="20" customWidth="1" min="5" max="5"/>
    <col width="9" customWidth="1" min="6" max="6"/>
    <col width="18" customWidth="1" min="7" max="7"/>
    <col width="15" customWidth="1" min="8" max="8"/>
    <col width="10" customWidth="1" min="9" max="9"/>
    <col width="18" customWidth="1" min="10" max="10"/>
    <col width="20" customWidth="1" min="11" max="11"/>
    <col width="20" customWidth="1" min="12" max="12"/>
    <col width="22" customWidth="1" min="13" max="13"/>
    <col width="18" customWidth="1" min="14" max="14"/>
  </cols>
  <sheetData>
    <row r="1" ht="24" customHeight="1">
      <c r="A1" s="13" t="inlineStr">
        <is>
          <t>Register Aset Tetap</t>
        </is>
      </c>
    </row>
    <row r="2">
      <c r="A2" s="14" t="inlineStr">
        <is>
          <t>Kapasitas 20 aset</t>
        </is>
      </c>
    </row>
    <row r="3">
      <c r="A3" s="15" t="inlineStr">
        <is>
          <t>VERSI DEMO: kapasitas &amp; fitur dibatasi, data simulasi. Versi lengkap: WhatsApp 089623291732</t>
        </is>
      </c>
    </row>
    <row r="5" ht="44" customHeight="1">
      <c r="A5" s="18" t="inlineStr">
        <is>
          <t>Kode</t>
        </is>
      </c>
      <c r="B5" s="18" t="inlineStr">
        <is>
          <t>Nama Aset</t>
        </is>
      </c>
      <c r="C5" s="18" t="inlineStr">
        <is>
          <t>Kategori</t>
        </is>
      </c>
      <c r="D5" s="18" t="inlineStr">
        <is>
          <t>Tgl Perolehan</t>
        </is>
      </c>
      <c r="E5" s="18" t="inlineStr">
        <is>
          <t>Harga Perolehan (Rp)</t>
        </is>
      </c>
      <c r="F5" s="18" t="inlineStr">
        <is>
          <t>Umur (tahun)</t>
        </is>
      </c>
      <c r="G5" s="18" t="inlineStr">
        <is>
          <t>Nilai Residu (Rp)</t>
        </is>
      </c>
      <c r="H5" s="18" t="inlineStr">
        <is>
          <t>Metode</t>
        </is>
      </c>
      <c r="I5" s="18" t="inlineStr">
        <is>
          <t>Bulan Berjalan</t>
        </is>
      </c>
      <c r="J5" s="18" t="inlineStr">
        <is>
          <t>Penyusutan / Bulan (GL)</t>
        </is>
      </c>
      <c r="K5" s="18" t="inlineStr">
        <is>
          <t>Akumulasi (Rp)</t>
        </is>
      </c>
      <c r="L5" s="18" t="inlineStr">
        <is>
          <t>Nilai Buku (Rp)</t>
        </is>
      </c>
      <c r="M5" s="18" t="inlineStr">
        <is>
          <t>Penyusutan Tahun Berjalan (Rp)</t>
        </is>
      </c>
      <c r="N5" s="18" t="inlineStr">
        <is>
          <t>Status</t>
        </is>
      </c>
    </row>
    <row r="6">
      <c r="A6" s="19" t="inlineStr">
        <is>
          <t>AT-001</t>
        </is>
      </c>
      <c r="B6" s="19" t="inlineStr">
        <is>
          <t>Peralatan Kantor 02-J</t>
        </is>
      </c>
      <c r="C6" s="19" t="inlineStr">
        <is>
          <t>Peralatan Kantor</t>
        </is>
      </c>
      <c r="D6" s="22" t="n">
        <v>44313</v>
      </c>
      <c r="E6" s="23" t="n">
        <v>28000000</v>
      </c>
      <c r="F6" s="20" t="n">
        <v>8</v>
      </c>
      <c r="G6" s="23" t="n">
        <v>1400000</v>
      </c>
      <c r="H6" s="19" t="inlineStr">
        <is>
          <t>Garis Lurus</t>
        </is>
      </c>
      <c r="I6" s="24">
        <f>IF(A6="","",MAX(0,(YEAR(PARAMETER!$C$5)-YEAR(D6))*12+MONTH(PARAMETER!$C$5)-MONTH(D6)))</f>
        <v/>
      </c>
      <c r="J6" s="25">
        <f>IF(A6="","",(E6-G6)/(F6*12))</f>
        <v/>
      </c>
      <c r="K6" s="25">
        <f>IF(A6="","",IF($H6="Garis Lurus",MIN($E6-$G6,$J6*(I6)),IF((I6)&gt;=$F6*12,$E6-$G6,MIN($E6-$G6,$E6-$E6*(1-2/$F6)^INT((I6)/12))+MIN($E6*(1-2/$F6)^INT((I6)/12)*(2/$F6),$E6-$G6-MIN($E6-$G6,$E6-$E6*(1-2/$F6)^INT((I6)/12)))*MOD((I6),12)/12)))</f>
        <v/>
      </c>
      <c r="L6" s="26">
        <f>IF(A6="","",E6-K6)</f>
        <v/>
      </c>
      <c r="M6" s="25">
        <f>IF(A6="","",K6-IF($H6="Garis Lurus",MIN($E6-$G6,$J6*(MAX(0,I6-MONTH(PARAMETER!$C$5)))),IF((MAX(0,I6-MONTH(PARAMETER!$C$5)))&gt;=$F6*12,$E6-$G6,MIN($E6-$G6,$E6-$E6*(1-2/$F6)^INT((MAX(0,I6-MONTH(PARAMETER!$C$5)))/12))+MIN($E6*(1-2/$F6)^INT((MAX(0,I6-MONTH(PARAMETER!$C$5)))/12)*(2/$F6),$E6-$G6-MIN($E6-$G6,$E6-$E6*(1-2/$F6)^INT((MAX(0,I6-MONTH(PARAMETER!$C$5)))/12)))*MOD((MAX(0,I6-MONTH(PARAMETER!$C$5))),12)/12)))</f>
        <v/>
      </c>
      <c r="N6" s="27">
        <f>IF(A6="","",IF(K6&gt;=E6-G6-0.5,"Habis disusutkan","Aktif"))</f>
        <v/>
      </c>
    </row>
    <row r="7">
      <c r="A7" s="19" t="inlineStr">
        <is>
          <t>AT-002</t>
        </is>
      </c>
      <c r="B7" s="19" t="inlineStr">
        <is>
          <t>Furnitur 02-L</t>
        </is>
      </c>
      <c r="C7" s="19" t="inlineStr">
        <is>
          <t>Furnitur</t>
        </is>
      </c>
      <c r="D7" s="22" t="n">
        <v>44442</v>
      </c>
      <c r="E7" s="23" t="n">
        <v>26000000</v>
      </c>
      <c r="F7" s="20" t="n">
        <v>8</v>
      </c>
      <c r="G7" s="23" t="n">
        <v>1300000</v>
      </c>
      <c r="H7" s="19" t="inlineStr">
        <is>
          <t>Garis Lurus</t>
        </is>
      </c>
      <c r="I7" s="24">
        <f>IF(A7="","",MAX(0,(YEAR(PARAMETER!$C$5)-YEAR(D7))*12+MONTH(PARAMETER!$C$5)-MONTH(D7)))</f>
        <v/>
      </c>
      <c r="J7" s="25">
        <f>IF(A7="","",(E7-G7)/(F7*12))</f>
        <v/>
      </c>
      <c r="K7" s="25">
        <f>IF(A7="","",IF($H7="Garis Lurus",MIN($E7-$G7,$J7*(I7)),IF((I7)&gt;=$F7*12,$E7-$G7,MIN($E7-$G7,$E7-$E7*(1-2/$F7)^INT((I7)/12))+MIN($E7*(1-2/$F7)^INT((I7)/12)*(2/$F7),$E7-$G7-MIN($E7-$G7,$E7-$E7*(1-2/$F7)^INT((I7)/12)))*MOD((I7),12)/12)))</f>
        <v/>
      </c>
      <c r="L7" s="26">
        <f>IF(A7="","",E7-K7)</f>
        <v/>
      </c>
      <c r="M7" s="25">
        <f>IF(A7="","",K7-IF($H7="Garis Lurus",MIN($E7-$G7,$J7*(MAX(0,I7-MONTH(PARAMETER!$C$5)))),IF((MAX(0,I7-MONTH(PARAMETER!$C$5)))&gt;=$F7*12,$E7-$G7,MIN($E7-$G7,$E7-$E7*(1-2/$F7)^INT((MAX(0,I7-MONTH(PARAMETER!$C$5)))/12))+MIN($E7*(1-2/$F7)^INT((MAX(0,I7-MONTH(PARAMETER!$C$5)))/12)*(2/$F7),$E7-$G7-MIN($E7-$G7,$E7-$E7*(1-2/$F7)^INT((MAX(0,I7-MONTH(PARAMETER!$C$5)))/12)))*MOD((MAX(0,I7-MONTH(PARAMETER!$C$5))),12)/12)))</f>
        <v/>
      </c>
      <c r="N7" s="27">
        <f>IF(A7="","",IF(K7&gt;=E7-G7-0.5,"Habis disusutkan","Aktif"))</f>
        <v/>
      </c>
    </row>
    <row r="8">
      <c r="A8" s="19" t="inlineStr">
        <is>
          <t>AT-003</t>
        </is>
      </c>
      <c r="B8" s="19" t="inlineStr">
        <is>
          <t>Peralatan Kantor 01-D</t>
        </is>
      </c>
      <c r="C8" s="19" t="inlineStr">
        <is>
          <t>Peralatan Kantor</t>
        </is>
      </c>
      <c r="D8" s="22" t="n">
        <v>44696</v>
      </c>
      <c r="E8" s="23" t="n">
        <v>37000000</v>
      </c>
      <c r="F8" s="20" t="n">
        <v>8</v>
      </c>
      <c r="G8" s="23" t="n">
        <v>3700000</v>
      </c>
      <c r="H8" s="19" t="inlineStr">
        <is>
          <t>Garis Lurus</t>
        </is>
      </c>
      <c r="I8" s="24">
        <f>IF(A8="","",MAX(0,(YEAR(PARAMETER!$C$5)-YEAR(D8))*12+MONTH(PARAMETER!$C$5)-MONTH(D8)))</f>
        <v/>
      </c>
      <c r="J8" s="25">
        <f>IF(A8="","",(E8-G8)/(F8*12))</f>
        <v/>
      </c>
      <c r="K8" s="25">
        <f>IF(A8="","",IF($H8="Garis Lurus",MIN($E8-$G8,$J8*(I8)),IF((I8)&gt;=$F8*12,$E8-$G8,MIN($E8-$G8,$E8-$E8*(1-2/$F8)^INT((I8)/12))+MIN($E8*(1-2/$F8)^INT((I8)/12)*(2/$F8),$E8-$G8-MIN($E8-$G8,$E8-$E8*(1-2/$F8)^INT((I8)/12)))*MOD((I8),12)/12)))</f>
        <v/>
      </c>
      <c r="L8" s="26">
        <f>IF(A8="","",E8-K8)</f>
        <v/>
      </c>
      <c r="M8" s="25">
        <f>IF(A8="","",K8-IF($H8="Garis Lurus",MIN($E8-$G8,$J8*(MAX(0,I8-MONTH(PARAMETER!$C$5)))),IF((MAX(0,I8-MONTH(PARAMETER!$C$5)))&gt;=$F8*12,$E8-$G8,MIN($E8-$G8,$E8-$E8*(1-2/$F8)^INT((MAX(0,I8-MONTH(PARAMETER!$C$5)))/12))+MIN($E8*(1-2/$F8)^INT((MAX(0,I8-MONTH(PARAMETER!$C$5)))/12)*(2/$F8),$E8-$G8-MIN($E8-$G8,$E8-$E8*(1-2/$F8)^INT((MAX(0,I8-MONTH(PARAMETER!$C$5)))/12)))*MOD((MAX(0,I8-MONTH(PARAMETER!$C$5))),12)/12)))</f>
        <v/>
      </c>
      <c r="N8" s="27">
        <f>IF(A8="","",IF(K8&gt;=E8-G8-0.5,"Habis disusutkan","Aktif"))</f>
        <v/>
      </c>
    </row>
    <row r="9">
      <c r="A9" s="19" t="inlineStr">
        <is>
          <t>AT-004</t>
        </is>
      </c>
      <c r="B9" s="19" t="inlineStr">
        <is>
          <t>Komputer/Server 02-K</t>
        </is>
      </c>
      <c r="C9" s="19" t="inlineStr">
        <is>
          <t>Komputer &amp; IT</t>
        </is>
      </c>
      <c r="D9" s="22" t="n">
        <v>44757</v>
      </c>
      <c r="E9" s="23" t="n">
        <v>53000000</v>
      </c>
      <c r="F9" s="20" t="n">
        <v>4</v>
      </c>
      <c r="G9" s="23" t="n"/>
      <c r="H9" s="19" t="inlineStr">
        <is>
          <t>Garis Lurus</t>
        </is>
      </c>
      <c r="I9" s="24">
        <f>IF(A9="","",MAX(0,(YEAR(PARAMETER!$C$5)-YEAR(D9))*12+MONTH(PARAMETER!$C$5)-MONTH(D9)))</f>
        <v/>
      </c>
      <c r="J9" s="25">
        <f>IF(A9="","",(E9-G9)/(F9*12))</f>
        <v/>
      </c>
      <c r="K9" s="25">
        <f>IF(A9="","",IF($H9="Garis Lurus",MIN($E9-$G9,$J9*(I9)),IF((I9)&gt;=$F9*12,$E9-$G9,MIN($E9-$G9,$E9-$E9*(1-2/$F9)^INT((I9)/12))+MIN($E9*(1-2/$F9)^INT((I9)/12)*(2/$F9),$E9-$G9-MIN($E9-$G9,$E9-$E9*(1-2/$F9)^INT((I9)/12)))*MOD((I9),12)/12)))</f>
        <v/>
      </c>
      <c r="L9" s="26">
        <f>IF(A9="","",E9-K9)</f>
        <v/>
      </c>
      <c r="M9" s="25">
        <f>IF(A9="","",K9-IF($H9="Garis Lurus",MIN($E9-$G9,$J9*(MAX(0,I9-MONTH(PARAMETER!$C$5)))),IF((MAX(0,I9-MONTH(PARAMETER!$C$5)))&gt;=$F9*12,$E9-$G9,MIN($E9-$G9,$E9-$E9*(1-2/$F9)^INT((MAX(0,I9-MONTH(PARAMETER!$C$5)))/12))+MIN($E9*(1-2/$F9)^INT((MAX(0,I9-MONTH(PARAMETER!$C$5)))/12)*(2/$F9),$E9-$G9-MIN($E9-$G9,$E9-$E9*(1-2/$F9)^INT((MAX(0,I9-MONTH(PARAMETER!$C$5)))/12)))*MOD((MAX(0,I9-MONTH(PARAMETER!$C$5))),12)/12)))</f>
        <v/>
      </c>
      <c r="N9" s="27">
        <f>IF(A9="","",IF(K9&gt;=E9-G9-0.5,"Habis disusutkan","Aktif"))</f>
        <v/>
      </c>
    </row>
    <row r="10">
      <c r="A10" s="19" t="inlineStr">
        <is>
          <t>AT-005</t>
        </is>
      </c>
      <c r="B10" s="19" t="inlineStr">
        <is>
          <t>Kendaraan Operasional 01-C</t>
        </is>
      </c>
      <c r="C10" s="19" t="inlineStr">
        <is>
          <t>Kendaraan</t>
        </is>
      </c>
      <c r="D10" s="22" t="n">
        <v>45044</v>
      </c>
      <c r="E10" s="23" t="n">
        <v>328000000</v>
      </c>
      <c r="F10" s="20" t="n">
        <v>8</v>
      </c>
      <c r="G10" s="23" t="n">
        <v>32800000</v>
      </c>
      <c r="H10" s="19" t="inlineStr">
        <is>
          <t>Garis Lurus</t>
        </is>
      </c>
      <c r="I10" s="24">
        <f>IF(A10="","",MAX(0,(YEAR(PARAMETER!$C$5)-YEAR(D10))*12+MONTH(PARAMETER!$C$5)-MONTH(D10)))</f>
        <v/>
      </c>
      <c r="J10" s="25">
        <f>IF(A10="","",(E10-G10)/(F10*12))</f>
        <v/>
      </c>
      <c r="K10" s="25">
        <f>IF(A10="","",IF($H10="Garis Lurus",MIN($E10-$G10,$J10*(I10)),IF((I10)&gt;=$F10*12,$E10-$G10,MIN($E10-$G10,$E10-$E10*(1-2/$F10)^INT((I10)/12))+MIN($E10*(1-2/$F10)^INT((I10)/12)*(2/$F10),$E10-$G10-MIN($E10-$G10,$E10-$E10*(1-2/$F10)^INT((I10)/12)))*MOD((I10),12)/12)))</f>
        <v/>
      </c>
      <c r="L10" s="26">
        <f>IF(A10="","",E10-K10)</f>
        <v/>
      </c>
      <c r="M10" s="25">
        <f>IF(A10="","",K10-IF($H10="Garis Lurus",MIN($E10-$G10,$J10*(MAX(0,I10-MONTH(PARAMETER!$C$5)))),IF((MAX(0,I10-MONTH(PARAMETER!$C$5)))&gt;=$F10*12,$E10-$G10,MIN($E10-$G10,$E10-$E10*(1-2/$F10)^INT((MAX(0,I10-MONTH(PARAMETER!$C$5)))/12))+MIN($E10*(1-2/$F10)^INT((MAX(0,I10-MONTH(PARAMETER!$C$5)))/12)*(2/$F10),$E10-$G10-MIN($E10-$G10,$E10-$E10*(1-2/$F10)^INT((MAX(0,I10-MONTH(PARAMETER!$C$5)))/12)))*MOD((MAX(0,I10-MONTH(PARAMETER!$C$5))),12)/12)))</f>
        <v/>
      </c>
      <c r="N10" s="27">
        <f>IF(A10="","",IF(K10&gt;=E10-G10-0.5,"Habis disusutkan","Aktif"))</f>
        <v/>
      </c>
    </row>
    <row r="11">
      <c r="A11" s="19" t="inlineStr">
        <is>
          <t>AT-006</t>
        </is>
      </c>
      <c r="B11" s="19" t="inlineStr">
        <is>
          <t>Mesin Produksi 02-H</t>
        </is>
      </c>
      <c r="C11" s="19" t="inlineStr">
        <is>
          <t>Mesin Produksi</t>
        </is>
      </c>
      <c r="D11" s="22" t="n">
        <v>45291</v>
      </c>
      <c r="E11" s="23" t="n">
        <v>389000000</v>
      </c>
      <c r="F11" s="20" t="n">
        <v>16</v>
      </c>
      <c r="G11" s="23" t="n">
        <v>19450000</v>
      </c>
      <c r="H11" s="19" t="inlineStr">
        <is>
          <t>Garis Lurus</t>
        </is>
      </c>
      <c r="I11" s="24">
        <f>IF(A11="","",MAX(0,(YEAR(PARAMETER!$C$5)-YEAR(D11))*12+MONTH(PARAMETER!$C$5)-MONTH(D11)))</f>
        <v/>
      </c>
      <c r="J11" s="25">
        <f>IF(A11="","",(E11-G11)/(F11*12))</f>
        <v/>
      </c>
      <c r="K11" s="25">
        <f>IF(A11="","",IF($H11="Garis Lurus",MIN($E11-$G11,$J11*(I11)),IF((I11)&gt;=$F11*12,$E11-$G11,MIN($E11-$G11,$E11-$E11*(1-2/$F11)^INT((I11)/12))+MIN($E11*(1-2/$F11)^INT((I11)/12)*(2/$F11),$E11-$G11-MIN($E11-$G11,$E11-$E11*(1-2/$F11)^INT((I11)/12)))*MOD((I11),12)/12)))</f>
        <v/>
      </c>
      <c r="L11" s="26">
        <f>IF(A11="","",E11-K11)</f>
        <v/>
      </c>
      <c r="M11" s="25">
        <f>IF(A11="","",K11-IF($H11="Garis Lurus",MIN($E11-$G11,$J11*(MAX(0,I11-MONTH(PARAMETER!$C$5)))),IF((MAX(0,I11-MONTH(PARAMETER!$C$5)))&gt;=$F11*12,$E11-$G11,MIN($E11-$G11,$E11-$E11*(1-2/$F11)^INT((MAX(0,I11-MONTH(PARAMETER!$C$5)))/12))+MIN($E11*(1-2/$F11)^INT((MAX(0,I11-MONTH(PARAMETER!$C$5)))/12)*(2/$F11),$E11-$G11-MIN($E11-$G11,$E11-$E11*(1-2/$F11)^INT((MAX(0,I11-MONTH(PARAMETER!$C$5)))/12)))*MOD((MAX(0,I11-MONTH(PARAMETER!$C$5))),12)/12)))</f>
        <v/>
      </c>
      <c r="N11" s="27">
        <f>IF(A11="","",IF(K11&gt;=E11-G11-0.5,"Habis disusutkan","Aktif"))</f>
        <v/>
      </c>
    </row>
    <row r="12">
      <c r="A12" s="19" t="inlineStr">
        <is>
          <t>AT-007</t>
        </is>
      </c>
      <c r="B12" s="19" t="inlineStr">
        <is>
          <t>Kendaraan Operasional 02-I</t>
        </is>
      </c>
      <c r="C12" s="19" t="inlineStr">
        <is>
          <t>Kendaraan</t>
        </is>
      </c>
      <c r="D12" s="22" t="n">
        <v>45395</v>
      </c>
      <c r="E12" s="23" t="n">
        <v>203000000</v>
      </c>
      <c r="F12" s="20" t="n">
        <v>8</v>
      </c>
      <c r="G12" s="23" t="n">
        <v>10150000</v>
      </c>
      <c r="H12" s="19" t="inlineStr">
        <is>
          <t>Garis Lurus</t>
        </is>
      </c>
      <c r="I12" s="24">
        <f>IF(A12="","",MAX(0,(YEAR(PARAMETER!$C$5)-YEAR(D12))*12+MONTH(PARAMETER!$C$5)-MONTH(D12)))</f>
        <v/>
      </c>
      <c r="J12" s="25">
        <f>IF(A12="","",(E12-G12)/(F12*12))</f>
        <v/>
      </c>
      <c r="K12" s="25">
        <f>IF(A12="","",IF($H12="Garis Lurus",MIN($E12-$G12,$J12*(I12)),IF((I12)&gt;=$F12*12,$E12-$G12,MIN($E12-$G12,$E12-$E12*(1-2/$F12)^INT((I12)/12))+MIN($E12*(1-2/$F12)^INT((I12)/12)*(2/$F12),$E12-$G12-MIN($E12-$G12,$E12-$E12*(1-2/$F12)^INT((I12)/12)))*MOD((I12),12)/12)))</f>
        <v/>
      </c>
      <c r="L12" s="26">
        <f>IF(A12="","",E12-K12)</f>
        <v/>
      </c>
      <c r="M12" s="25">
        <f>IF(A12="","",K12-IF($H12="Garis Lurus",MIN($E12-$G12,$J12*(MAX(0,I12-MONTH(PARAMETER!$C$5)))),IF((MAX(0,I12-MONTH(PARAMETER!$C$5)))&gt;=$F12*12,$E12-$G12,MIN($E12-$G12,$E12-$E12*(1-2/$F12)^INT((MAX(0,I12-MONTH(PARAMETER!$C$5)))/12))+MIN($E12*(1-2/$F12)^INT((MAX(0,I12-MONTH(PARAMETER!$C$5)))/12)*(2/$F12),$E12-$G12-MIN($E12-$G12,$E12-$E12*(1-2/$F12)^INT((MAX(0,I12-MONTH(PARAMETER!$C$5)))/12)))*MOD((MAX(0,I12-MONTH(PARAMETER!$C$5))),12)/12)))</f>
        <v/>
      </c>
      <c r="N12" s="27">
        <f>IF(A12="","",IF(K12&gt;=E12-G12-0.5,"Habis disusutkan","Aktif"))</f>
        <v/>
      </c>
    </row>
    <row r="13">
      <c r="A13" s="19" t="inlineStr">
        <is>
          <t>AT-008</t>
        </is>
      </c>
      <c r="B13" s="19" t="inlineStr">
        <is>
          <t>Komputer/Server 01-E</t>
        </is>
      </c>
      <c r="C13" s="19" t="inlineStr">
        <is>
          <t>Komputer &amp; IT</t>
        </is>
      </c>
      <c r="D13" s="22" t="n">
        <v>45480</v>
      </c>
      <c r="E13" s="23" t="n">
        <v>37000000</v>
      </c>
      <c r="F13" s="20" t="n">
        <v>4</v>
      </c>
      <c r="G13" s="23" t="n"/>
      <c r="H13" s="19" t="inlineStr">
        <is>
          <t>Garis Lurus</t>
        </is>
      </c>
      <c r="I13" s="24">
        <f>IF(A13="","",MAX(0,(YEAR(PARAMETER!$C$5)-YEAR(D13))*12+MONTH(PARAMETER!$C$5)-MONTH(D13)))</f>
        <v/>
      </c>
      <c r="J13" s="25">
        <f>IF(A13="","",(E13-G13)/(F13*12))</f>
        <v/>
      </c>
      <c r="K13" s="25">
        <f>IF(A13="","",IF($H13="Garis Lurus",MIN($E13-$G13,$J13*(I13)),IF((I13)&gt;=$F13*12,$E13-$G13,MIN($E13-$G13,$E13-$E13*(1-2/$F13)^INT((I13)/12))+MIN($E13*(1-2/$F13)^INT((I13)/12)*(2/$F13),$E13-$G13-MIN($E13-$G13,$E13-$E13*(1-2/$F13)^INT((I13)/12)))*MOD((I13),12)/12)))</f>
        <v/>
      </c>
      <c r="L13" s="26">
        <f>IF(A13="","",E13-K13)</f>
        <v/>
      </c>
      <c r="M13" s="25">
        <f>IF(A13="","",K13-IF($H13="Garis Lurus",MIN($E13-$G13,$J13*(MAX(0,I13-MONTH(PARAMETER!$C$5)))),IF((MAX(0,I13-MONTH(PARAMETER!$C$5)))&gt;=$F13*12,$E13-$G13,MIN($E13-$G13,$E13-$E13*(1-2/$F13)^INT((MAX(0,I13-MONTH(PARAMETER!$C$5)))/12))+MIN($E13*(1-2/$F13)^INT((MAX(0,I13-MONTH(PARAMETER!$C$5)))/12)*(2/$F13),$E13-$G13-MIN($E13-$G13,$E13-$E13*(1-2/$F13)^INT((MAX(0,I13-MONTH(PARAMETER!$C$5)))/12)))*MOD((MAX(0,I13-MONTH(PARAMETER!$C$5))),12)/12)))</f>
        <v/>
      </c>
      <c r="N13" s="27">
        <f>IF(A13="","",IF(K13&gt;=E13-G13-0.5,"Habis disusutkan","Aktif"))</f>
        <v/>
      </c>
    </row>
    <row r="14">
      <c r="A14" s="19" t="inlineStr">
        <is>
          <t>AT-009</t>
        </is>
      </c>
      <c r="B14" s="19" t="inlineStr">
        <is>
          <t>Mesin Produksi 01-B</t>
        </is>
      </c>
      <c r="C14" s="19" t="inlineStr">
        <is>
          <t>Mesin Produksi</t>
        </is>
      </c>
      <c r="D14" s="22" t="n">
        <v>45489</v>
      </c>
      <c r="E14" s="23" t="n">
        <v>368000000</v>
      </c>
      <c r="F14" s="20" t="n">
        <v>16</v>
      </c>
      <c r="G14" s="23" t="n">
        <v>18400000</v>
      </c>
      <c r="H14" s="19" t="inlineStr">
        <is>
          <t>Garis Lurus</t>
        </is>
      </c>
      <c r="I14" s="24">
        <f>IF(A14="","",MAX(0,(YEAR(PARAMETER!$C$5)-YEAR(D14))*12+MONTH(PARAMETER!$C$5)-MONTH(D14)))</f>
        <v/>
      </c>
      <c r="J14" s="25">
        <f>IF(A14="","",(E14-G14)/(F14*12))</f>
        <v/>
      </c>
      <c r="K14" s="25">
        <f>IF(A14="","",IF($H14="Garis Lurus",MIN($E14-$G14,$J14*(I14)),IF((I14)&gt;=$F14*12,$E14-$G14,MIN($E14-$G14,$E14-$E14*(1-2/$F14)^INT((I14)/12))+MIN($E14*(1-2/$F14)^INT((I14)/12)*(2/$F14),$E14-$G14-MIN($E14-$G14,$E14-$E14*(1-2/$F14)^INT((I14)/12)))*MOD((I14),12)/12)))</f>
        <v/>
      </c>
      <c r="L14" s="26">
        <f>IF(A14="","",E14-K14)</f>
        <v/>
      </c>
      <c r="M14" s="25">
        <f>IF(A14="","",K14-IF($H14="Garis Lurus",MIN($E14-$G14,$J14*(MAX(0,I14-MONTH(PARAMETER!$C$5)))),IF((MAX(0,I14-MONTH(PARAMETER!$C$5)))&gt;=$F14*12,$E14-$G14,MIN($E14-$G14,$E14-$E14*(1-2/$F14)^INT((MAX(0,I14-MONTH(PARAMETER!$C$5)))/12))+MIN($E14*(1-2/$F14)^INT((MAX(0,I14-MONTH(PARAMETER!$C$5)))/12)*(2/$F14),$E14-$G14-MIN($E14-$G14,$E14-$E14*(1-2/$F14)^INT((MAX(0,I14-MONTH(PARAMETER!$C$5)))/12)))*MOD((MAX(0,I14-MONTH(PARAMETER!$C$5))),12)/12)))</f>
        <v/>
      </c>
      <c r="N14" s="27">
        <f>IF(A14="","",IF(K14&gt;=E14-G14-0.5,"Habis disusutkan","Aktif"))</f>
        <v/>
      </c>
    </row>
    <row r="15">
      <c r="A15" s="19" t="inlineStr">
        <is>
          <t>AT-010</t>
        </is>
      </c>
      <c r="B15" s="19" t="inlineStr">
        <is>
          <t>Gedung/Renovasi 01-A</t>
        </is>
      </c>
      <c r="C15" s="19" t="inlineStr">
        <is>
          <t>Bangunan</t>
        </is>
      </c>
      <c r="D15" s="22" t="n">
        <v>45540</v>
      </c>
      <c r="E15" s="23" t="n">
        <v>1321000000</v>
      </c>
      <c r="F15" s="20" t="n">
        <v>20</v>
      </c>
      <c r="G15" s="23" t="n">
        <v>132100000</v>
      </c>
      <c r="H15" s="19" t="inlineStr">
        <is>
          <t>Garis Lurus</t>
        </is>
      </c>
      <c r="I15" s="24">
        <f>IF(A15="","",MAX(0,(YEAR(PARAMETER!$C$5)-YEAR(D15))*12+MONTH(PARAMETER!$C$5)-MONTH(D15)))</f>
        <v/>
      </c>
      <c r="J15" s="25">
        <f>IF(A15="","",(E15-G15)/(F15*12))</f>
        <v/>
      </c>
      <c r="K15" s="25">
        <f>IF(A15="","",IF($H15="Garis Lurus",MIN($E15-$G15,$J15*(I15)),IF((I15)&gt;=$F15*12,$E15-$G15,MIN($E15-$G15,$E15-$E15*(1-2/$F15)^INT((I15)/12))+MIN($E15*(1-2/$F15)^INT((I15)/12)*(2/$F15),$E15-$G15-MIN($E15-$G15,$E15-$E15*(1-2/$F15)^INT((I15)/12)))*MOD((I15),12)/12)))</f>
        <v/>
      </c>
      <c r="L15" s="26">
        <f>IF(A15="","",E15-K15)</f>
        <v/>
      </c>
      <c r="M15" s="25">
        <f>IF(A15="","",K15-IF($H15="Garis Lurus",MIN($E15-$G15,$J15*(MAX(0,I15-MONTH(PARAMETER!$C$5)))),IF((MAX(0,I15-MONTH(PARAMETER!$C$5)))&gt;=$F15*12,$E15-$G15,MIN($E15-$G15,$E15-$E15*(1-2/$F15)^INT((MAX(0,I15-MONTH(PARAMETER!$C$5)))/12))+MIN($E15*(1-2/$F15)^INT((MAX(0,I15-MONTH(PARAMETER!$C$5)))/12)*(2/$F15),$E15-$G15-MIN($E15-$G15,$E15-$E15*(1-2/$F15)^INT((MAX(0,I15-MONTH(PARAMETER!$C$5)))/12)))*MOD((MAX(0,I15-MONTH(PARAMETER!$C$5))),12)/12)))</f>
        <v/>
      </c>
      <c r="N15" s="27">
        <f>IF(A15="","",IF(K15&gt;=E15-G15-0.5,"Habis disusutkan","Aktif"))</f>
        <v/>
      </c>
    </row>
    <row r="16">
      <c r="A16" s="19" t="inlineStr">
        <is>
          <t>AT-011</t>
        </is>
      </c>
      <c r="B16" s="19" t="inlineStr">
        <is>
          <t>Furnitur 01-F</t>
        </is>
      </c>
      <c r="C16" s="19" t="inlineStr">
        <is>
          <t>Furnitur</t>
        </is>
      </c>
      <c r="D16" s="22" t="n">
        <v>45585</v>
      </c>
      <c r="E16" s="23" t="n">
        <v>17000000</v>
      </c>
      <c r="F16" s="20" t="n">
        <v>8</v>
      </c>
      <c r="G16" s="23" t="n">
        <v>850000</v>
      </c>
      <c r="H16" s="19" t="inlineStr">
        <is>
          <t>Garis Lurus</t>
        </is>
      </c>
      <c r="I16" s="24">
        <f>IF(A16="","",MAX(0,(YEAR(PARAMETER!$C$5)-YEAR(D16))*12+MONTH(PARAMETER!$C$5)-MONTH(D16)))</f>
        <v/>
      </c>
      <c r="J16" s="25">
        <f>IF(A16="","",(E16-G16)/(F16*12))</f>
        <v/>
      </c>
      <c r="K16" s="25">
        <f>IF(A16="","",IF($H16="Garis Lurus",MIN($E16-$G16,$J16*(I16)),IF((I16)&gt;=$F16*12,$E16-$G16,MIN($E16-$G16,$E16-$E16*(1-2/$F16)^INT((I16)/12))+MIN($E16*(1-2/$F16)^INT((I16)/12)*(2/$F16),$E16-$G16-MIN($E16-$G16,$E16-$E16*(1-2/$F16)^INT((I16)/12)))*MOD((I16),12)/12)))</f>
        <v/>
      </c>
      <c r="L16" s="26">
        <f>IF(A16="","",E16-K16)</f>
        <v/>
      </c>
      <c r="M16" s="25">
        <f>IF(A16="","",K16-IF($H16="Garis Lurus",MIN($E16-$G16,$J16*(MAX(0,I16-MONTH(PARAMETER!$C$5)))),IF((MAX(0,I16-MONTH(PARAMETER!$C$5)))&gt;=$F16*12,$E16-$G16,MIN($E16-$G16,$E16-$E16*(1-2/$F16)^INT((MAX(0,I16-MONTH(PARAMETER!$C$5)))/12))+MIN($E16*(1-2/$F16)^INT((MAX(0,I16-MONTH(PARAMETER!$C$5)))/12)*(2/$F16),$E16-$G16-MIN($E16-$G16,$E16-$E16*(1-2/$F16)^INT((MAX(0,I16-MONTH(PARAMETER!$C$5)))/12)))*MOD((MAX(0,I16-MONTH(PARAMETER!$C$5))),12)/12)))</f>
        <v/>
      </c>
      <c r="N16" s="27">
        <f>IF(A16="","",IF(K16&gt;=E16-G16-0.5,"Habis disusutkan","Aktif"))</f>
        <v/>
      </c>
    </row>
    <row r="17">
      <c r="A17" s="19" t="inlineStr">
        <is>
          <t>AT-012</t>
        </is>
      </c>
      <c r="B17" s="19" t="inlineStr">
        <is>
          <t>Gedung/Renovasi 02-G</t>
        </is>
      </c>
      <c r="C17" s="19" t="inlineStr">
        <is>
          <t>Bangunan</t>
        </is>
      </c>
      <c r="D17" s="22" t="n">
        <v>45946</v>
      </c>
      <c r="E17" s="23" t="n">
        <v>2150000000</v>
      </c>
      <c r="F17" s="20" t="n">
        <v>20</v>
      </c>
      <c r="G17" s="23" t="n">
        <v>215000000</v>
      </c>
      <c r="H17" s="19" t="inlineStr">
        <is>
          <t>Garis Lurus</t>
        </is>
      </c>
      <c r="I17" s="24">
        <f>IF(A17="","",MAX(0,(YEAR(PARAMETER!$C$5)-YEAR(D17))*12+MONTH(PARAMETER!$C$5)-MONTH(D17)))</f>
        <v/>
      </c>
      <c r="J17" s="25">
        <f>IF(A17="","",(E17-G17)/(F17*12))</f>
        <v/>
      </c>
      <c r="K17" s="25">
        <f>IF(A17="","",IF($H17="Garis Lurus",MIN($E17-$G17,$J17*(I17)),IF((I17)&gt;=$F17*12,$E17-$G17,MIN($E17-$G17,$E17-$E17*(1-2/$F17)^INT((I17)/12))+MIN($E17*(1-2/$F17)^INT((I17)/12)*(2/$F17),$E17-$G17-MIN($E17-$G17,$E17-$E17*(1-2/$F17)^INT((I17)/12)))*MOD((I17),12)/12)))</f>
        <v/>
      </c>
      <c r="L17" s="26">
        <f>IF(A17="","",E17-K17)</f>
        <v/>
      </c>
      <c r="M17" s="25">
        <f>IF(A17="","",K17-IF($H17="Garis Lurus",MIN($E17-$G17,$J17*(MAX(0,I17-MONTH(PARAMETER!$C$5)))),IF((MAX(0,I17-MONTH(PARAMETER!$C$5)))&gt;=$F17*12,$E17-$G17,MIN($E17-$G17,$E17-$E17*(1-2/$F17)^INT((MAX(0,I17-MONTH(PARAMETER!$C$5)))/12))+MIN($E17*(1-2/$F17)^INT((MAX(0,I17-MONTH(PARAMETER!$C$5)))/12)*(2/$F17),$E17-$G17-MIN($E17-$G17,$E17-$E17*(1-2/$F17)^INT((MAX(0,I17-MONTH(PARAMETER!$C$5)))/12)))*MOD((MAX(0,I17-MONTH(PARAMETER!$C$5))),12)/12)))</f>
        <v/>
      </c>
      <c r="N17" s="27">
        <f>IF(A17="","",IF(K17&gt;=E17-G17-0.5,"Habis disusutkan","Aktif"))</f>
        <v/>
      </c>
    </row>
    <row r="18">
      <c r="A18" s="19" t="n"/>
      <c r="B18" s="19" t="n"/>
      <c r="C18" s="19" t="n"/>
      <c r="D18" s="22" t="n"/>
      <c r="E18" s="23" t="n"/>
      <c r="F18" s="20" t="n"/>
      <c r="G18" s="23" t="n"/>
      <c r="H18" s="19" t="n"/>
      <c r="I18" s="24">
        <f>IF(A18="","",MAX(0,(YEAR(PARAMETER!$C$5)-YEAR(D18))*12+MONTH(PARAMETER!$C$5)-MONTH(D18)))</f>
        <v/>
      </c>
      <c r="J18" s="25">
        <f>IF(A18="","",(E18-G18)/(F18*12))</f>
        <v/>
      </c>
      <c r="K18" s="25">
        <f>IF(A18="","",IF($H18="Garis Lurus",MIN($E18-$G18,$J18*(I18)),IF((I18)&gt;=$F18*12,$E18-$G18,MIN($E18-$G18,$E18-$E18*(1-2/$F18)^INT((I18)/12))+MIN($E18*(1-2/$F18)^INT((I18)/12)*(2/$F18),$E18-$G18-MIN($E18-$G18,$E18-$E18*(1-2/$F18)^INT((I18)/12)))*MOD((I18),12)/12)))</f>
        <v/>
      </c>
      <c r="L18" s="26">
        <f>IF(A18="","",E18-K18)</f>
        <v/>
      </c>
      <c r="M18" s="25">
        <f>IF(A18="","",K18-IF($H18="Garis Lurus",MIN($E18-$G18,$J18*(MAX(0,I18-MONTH(PARAMETER!$C$5)))),IF((MAX(0,I18-MONTH(PARAMETER!$C$5)))&gt;=$F18*12,$E18-$G18,MIN($E18-$G18,$E18-$E18*(1-2/$F18)^INT((MAX(0,I18-MONTH(PARAMETER!$C$5)))/12))+MIN($E18*(1-2/$F18)^INT((MAX(0,I18-MONTH(PARAMETER!$C$5)))/12)*(2/$F18),$E18-$G18-MIN($E18-$G18,$E18-$E18*(1-2/$F18)^INT((MAX(0,I18-MONTH(PARAMETER!$C$5)))/12)))*MOD((MAX(0,I18-MONTH(PARAMETER!$C$5))),12)/12)))</f>
        <v/>
      </c>
      <c r="N18" s="27">
        <f>IF(A18="","",IF(K18&gt;=E18-G18-0.5,"Habis disusutkan","Aktif"))</f>
        <v/>
      </c>
    </row>
    <row r="19">
      <c r="A19" s="19" t="n"/>
      <c r="B19" s="19" t="n"/>
      <c r="C19" s="19" t="n"/>
      <c r="D19" s="22" t="n"/>
      <c r="E19" s="23" t="n"/>
      <c r="F19" s="20" t="n"/>
      <c r="G19" s="23" t="n"/>
      <c r="H19" s="19" t="n"/>
      <c r="I19" s="24">
        <f>IF(A19="","",MAX(0,(YEAR(PARAMETER!$C$5)-YEAR(D19))*12+MONTH(PARAMETER!$C$5)-MONTH(D19)))</f>
        <v/>
      </c>
      <c r="J19" s="25">
        <f>IF(A19="","",(E19-G19)/(F19*12))</f>
        <v/>
      </c>
      <c r="K19" s="25">
        <f>IF(A19="","",IF($H19="Garis Lurus",MIN($E19-$G19,$J19*(I19)),IF((I19)&gt;=$F19*12,$E19-$G19,MIN($E19-$G19,$E19-$E19*(1-2/$F19)^INT((I19)/12))+MIN($E19*(1-2/$F19)^INT((I19)/12)*(2/$F19),$E19-$G19-MIN($E19-$G19,$E19-$E19*(1-2/$F19)^INT((I19)/12)))*MOD((I19),12)/12)))</f>
        <v/>
      </c>
      <c r="L19" s="26">
        <f>IF(A19="","",E19-K19)</f>
        <v/>
      </c>
      <c r="M19" s="25">
        <f>IF(A19="","",K19-IF($H19="Garis Lurus",MIN($E19-$G19,$J19*(MAX(0,I19-MONTH(PARAMETER!$C$5)))),IF((MAX(0,I19-MONTH(PARAMETER!$C$5)))&gt;=$F19*12,$E19-$G19,MIN($E19-$G19,$E19-$E19*(1-2/$F19)^INT((MAX(0,I19-MONTH(PARAMETER!$C$5)))/12))+MIN($E19*(1-2/$F19)^INT((MAX(0,I19-MONTH(PARAMETER!$C$5)))/12)*(2/$F19),$E19-$G19-MIN($E19-$G19,$E19-$E19*(1-2/$F19)^INT((MAX(0,I19-MONTH(PARAMETER!$C$5)))/12)))*MOD((MAX(0,I19-MONTH(PARAMETER!$C$5))),12)/12)))</f>
        <v/>
      </c>
      <c r="N19" s="27">
        <f>IF(A19="","",IF(K19&gt;=E19-G19-0.5,"Habis disusutkan","Aktif"))</f>
        <v/>
      </c>
    </row>
    <row r="20">
      <c r="A20" s="19" t="n"/>
      <c r="B20" s="19" t="n"/>
      <c r="C20" s="19" t="n"/>
      <c r="D20" s="22" t="n"/>
      <c r="E20" s="23" t="n"/>
      <c r="F20" s="20" t="n"/>
      <c r="G20" s="23" t="n"/>
      <c r="H20" s="19" t="n"/>
      <c r="I20" s="24">
        <f>IF(A20="","",MAX(0,(YEAR(PARAMETER!$C$5)-YEAR(D20))*12+MONTH(PARAMETER!$C$5)-MONTH(D20)))</f>
        <v/>
      </c>
      <c r="J20" s="25">
        <f>IF(A20="","",(E20-G20)/(F20*12))</f>
        <v/>
      </c>
      <c r="K20" s="25">
        <f>IF(A20="","",IF($H20="Garis Lurus",MIN($E20-$G20,$J20*(I20)),IF((I20)&gt;=$F20*12,$E20-$G20,MIN($E20-$G20,$E20-$E20*(1-2/$F20)^INT((I20)/12))+MIN($E20*(1-2/$F20)^INT((I20)/12)*(2/$F20),$E20-$G20-MIN($E20-$G20,$E20-$E20*(1-2/$F20)^INT((I20)/12)))*MOD((I20),12)/12)))</f>
        <v/>
      </c>
      <c r="L20" s="26">
        <f>IF(A20="","",E20-K20)</f>
        <v/>
      </c>
      <c r="M20" s="25">
        <f>IF(A20="","",K20-IF($H20="Garis Lurus",MIN($E20-$G20,$J20*(MAX(0,I20-MONTH(PARAMETER!$C$5)))),IF((MAX(0,I20-MONTH(PARAMETER!$C$5)))&gt;=$F20*12,$E20-$G20,MIN($E20-$G20,$E20-$E20*(1-2/$F20)^INT((MAX(0,I20-MONTH(PARAMETER!$C$5)))/12))+MIN($E20*(1-2/$F20)^INT((MAX(0,I20-MONTH(PARAMETER!$C$5)))/12)*(2/$F20),$E20-$G20-MIN($E20-$G20,$E20-$E20*(1-2/$F20)^INT((MAX(0,I20-MONTH(PARAMETER!$C$5)))/12)))*MOD((MAX(0,I20-MONTH(PARAMETER!$C$5))),12)/12)))</f>
        <v/>
      </c>
      <c r="N20" s="27">
        <f>IF(A20="","",IF(K20&gt;=E20-G20-0.5,"Habis disusutkan","Aktif"))</f>
        <v/>
      </c>
    </row>
    <row r="21">
      <c r="A21" s="19" t="n"/>
      <c r="B21" s="19" t="n"/>
      <c r="C21" s="19" t="n"/>
      <c r="D21" s="22" t="n"/>
      <c r="E21" s="23" t="n"/>
      <c r="F21" s="20" t="n"/>
      <c r="G21" s="23" t="n"/>
      <c r="H21" s="19" t="n"/>
      <c r="I21" s="24">
        <f>IF(A21="","",MAX(0,(YEAR(PARAMETER!$C$5)-YEAR(D21))*12+MONTH(PARAMETER!$C$5)-MONTH(D21)))</f>
        <v/>
      </c>
      <c r="J21" s="25">
        <f>IF(A21="","",(E21-G21)/(F21*12))</f>
        <v/>
      </c>
      <c r="K21" s="25">
        <f>IF(A21="","",IF($H21="Garis Lurus",MIN($E21-$G21,$J21*(I21)),IF((I21)&gt;=$F21*12,$E21-$G21,MIN($E21-$G21,$E21-$E21*(1-2/$F21)^INT((I21)/12))+MIN($E21*(1-2/$F21)^INT((I21)/12)*(2/$F21),$E21-$G21-MIN($E21-$G21,$E21-$E21*(1-2/$F21)^INT((I21)/12)))*MOD((I21),12)/12)))</f>
        <v/>
      </c>
      <c r="L21" s="26">
        <f>IF(A21="","",E21-K21)</f>
        <v/>
      </c>
      <c r="M21" s="25">
        <f>IF(A21="","",K21-IF($H21="Garis Lurus",MIN($E21-$G21,$J21*(MAX(0,I21-MONTH(PARAMETER!$C$5)))),IF((MAX(0,I21-MONTH(PARAMETER!$C$5)))&gt;=$F21*12,$E21-$G21,MIN($E21-$G21,$E21-$E21*(1-2/$F21)^INT((MAX(0,I21-MONTH(PARAMETER!$C$5)))/12))+MIN($E21*(1-2/$F21)^INT((MAX(0,I21-MONTH(PARAMETER!$C$5)))/12)*(2/$F21),$E21-$G21-MIN($E21-$G21,$E21-$E21*(1-2/$F21)^INT((MAX(0,I21-MONTH(PARAMETER!$C$5)))/12)))*MOD((MAX(0,I21-MONTH(PARAMETER!$C$5))),12)/12)))</f>
        <v/>
      </c>
      <c r="N21" s="27">
        <f>IF(A21="","",IF(K21&gt;=E21-G21-0.5,"Habis disusutkan","Aktif"))</f>
        <v/>
      </c>
    </row>
    <row r="22">
      <c r="A22" s="19" t="n"/>
      <c r="B22" s="19" t="n"/>
      <c r="C22" s="19" t="n"/>
      <c r="D22" s="22" t="n"/>
      <c r="E22" s="23" t="n"/>
      <c r="F22" s="20" t="n"/>
      <c r="G22" s="23" t="n"/>
      <c r="H22" s="19" t="n"/>
      <c r="I22" s="24">
        <f>IF(A22="","",MAX(0,(YEAR(PARAMETER!$C$5)-YEAR(D22))*12+MONTH(PARAMETER!$C$5)-MONTH(D22)))</f>
        <v/>
      </c>
      <c r="J22" s="25">
        <f>IF(A22="","",(E22-G22)/(F22*12))</f>
        <v/>
      </c>
      <c r="K22" s="25">
        <f>IF(A22="","",IF($H22="Garis Lurus",MIN($E22-$G22,$J22*(I22)),IF((I22)&gt;=$F22*12,$E22-$G22,MIN($E22-$G22,$E22-$E22*(1-2/$F22)^INT((I22)/12))+MIN($E22*(1-2/$F22)^INT((I22)/12)*(2/$F22),$E22-$G22-MIN($E22-$G22,$E22-$E22*(1-2/$F22)^INT((I22)/12)))*MOD((I22),12)/12)))</f>
        <v/>
      </c>
      <c r="L22" s="26">
        <f>IF(A22="","",E22-K22)</f>
        <v/>
      </c>
      <c r="M22" s="25">
        <f>IF(A22="","",K22-IF($H22="Garis Lurus",MIN($E22-$G22,$J22*(MAX(0,I22-MONTH(PARAMETER!$C$5)))),IF((MAX(0,I22-MONTH(PARAMETER!$C$5)))&gt;=$F22*12,$E22-$G22,MIN($E22-$G22,$E22-$E22*(1-2/$F22)^INT((MAX(0,I22-MONTH(PARAMETER!$C$5)))/12))+MIN($E22*(1-2/$F22)^INT((MAX(0,I22-MONTH(PARAMETER!$C$5)))/12)*(2/$F22),$E22-$G22-MIN($E22-$G22,$E22-$E22*(1-2/$F22)^INT((MAX(0,I22-MONTH(PARAMETER!$C$5)))/12)))*MOD((MAX(0,I22-MONTH(PARAMETER!$C$5))),12)/12)))</f>
        <v/>
      </c>
      <c r="N22" s="27">
        <f>IF(A22="","",IF(K22&gt;=E22-G22-0.5,"Habis disusutkan","Aktif"))</f>
        <v/>
      </c>
    </row>
    <row r="23">
      <c r="A23" s="19" t="n"/>
      <c r="B23" s="19" t="n"/>
      <c r="C23" s="19" t="n"/>
      <c r="D23" s="22" t="n"/>
      <c r="E23" s="23" t="n"/>
      <c r="F23" s="20" t="n"/>
      <c r="G23" s="23" t="n"/>
      <c r="H23" s="19" t="n"/>
      <c r="I23" s="24">
        <f>IF(A23="","",MAX(0,(YEAR(PARAMETER!$C$5)-YEAR(D23))*12+MONTH(PARAMETER!$C$5)-MONTH(D23)))</f>
        <v/>
      </c>
      <c r="J23" s="25">
        <f>IF(A23="","",(E23-G23)/(F23*12))</f>
        <v/>
      </c>
      <c r="K23" s="25">
        <f>IF(A23="","",IF($H23="Garis Lurus",MIN($E23-$G23,$J23*(I23)),IF((I23)&gt;=$F23*12,$E23-$G23,MIN($E23-$G23,$E23-$E23*(1-2/$F23)^INT((I23)/12))+MIN($E23*(1-2/$F23)^INT((I23)/12)*(2/$F23),$E23-$G23-MIN($E23-$G23,$E23-$E23*(1-2/$F23)^INT((I23)/12)))*MOD((I23),12)/12)))</f>
        <v/>
      </c>
      <c r="L23" s="26">
        <f>IF(A23="","",E23-K23)</f>
        <v/>
      </c>
      <c r="M23" s="25">
        <f>IF(A23="","",K23-IF($H23="Garis Lurus",MIN($E23-$G23,$J23*(MAX(0,I23-MONTH(PARAMETER!$C$5)))),IF((MAX(0,I23-MONTH(PARAMETER!$C$5)))&gt;=$F23*12,$E23-$G23,MIN($E23-$G23,$E23-$E23*(1-2/$F23)^INT((MAX(0,I23-MONTH(PARAMETER!$C$5)))/12))+MIN($E23*(1-2/$F23)^INT((MAX(0,I23-MONTH(PARAMETER!$C$5)))/12)*(2/$F23),$E23-$G23-MIN($E23-$G23,$E23-$E23*(1-2/$F23)^INT((MAX(0,I23-MONTH(PARAMETER!$C$5)))/12)))*MOD((MAX(0,I23-MONTH(PARAMETER!$C$5))),12)/12)))</f>
        <v/>
      </c>
      <c r="N23" s="27">
        <f>IF(A23="","",IF(K23&gt;=E23-G23-0.5,"Habis disusutkan","Aktif"))</f>
        <v/>
      </c>
    </row>
    <row r="24">
      <c r="A24" s="19" t="n"/>
      <c r="B24" s="19" t="n"/>
      <c r="C24" s="19" t="n"/>
      <c r="D24" s="22" t="n"/>
      <c r="E24" s="23" t="n"/>
      <c r="F24" s="20" t="n"/>
      <c r="G24" s="23" t="n"/>
      <c r="H24" s="19" t="n"/>
      <c r="I24" s="24">
        <f>IF(A24="","",MAX(0,(YEAR(PARAMETER!$C$5)-YEAR(D24))*12+MONTH(PARAMETER!$C$5)-MONTH(D24)))</f>
        <v/>
      </c>
      <c r="J24" s="25">
        <f>IF(A24="","",(E24-G24)/(F24*12))</f>
        <v/>
      </c>
      <c r="K24" s="25">
        <f>IF(A24="","",IF($H24="Garis Lurus",MIN($E24-$G24,$J24*(I24)),IF((I24)&gt;=$F24*12,$E24-$G24,MIN($E24-$G24,$E24-$E24*(1-2/$F24)^INT((I24)/12))+MIN($E24*(1-2/$F24)^INT((I24)/12)*(2/$F24),$E24-$G24-MIN($E24-$G24,$E24-$E24*(1-2/$F24)^INT((I24)/12)))*MOD((I24),12)/12)))</f>
        <v/>
      </c>
      <c r="L24" s="26">
        <f>IF(A24="","",E24-K24)</f>
        <v/>
      </c>
      <c r="M24" s="25">
        <f>IF(A24="","",K24-IF($H24="Garis Lurus",MIN($E24-$G24,$J24*(MAX(0,I24-MONTH(PARAMETER!$C$5)))),IF((MAX(0,I24-MONTH(PARAMETER!$C$5)))&gt;=$F24*12,$E24-$G24,MIN($E24-$G24,$E24-$E24*(1-2/$F24)^INT((MAX(0,I24-MONTH(PARAMETER!$C$5)))/12))+MIN($E24*(1-2/$F24)^INT((MAX(0,I24-MONTH(PARAMETER!$C$5)))/12)*(2/$F24),$E24-$G24-MIN($E24-$G24,$E24-$E24*(1-2/$F24)^INT((MAX(0,I24-MONTH(PARAMETER!$C$5)))/12)))*MOD((MAX(0,I24-MONTH(PARAMETER!$C$5))),12)/12)))</f>
        <v/>
      </c>
      <c r="N24" s="27">
        <f>IF(A24="","",IF(K24&gt;=E24-G24-0.5,"Habis disusutkan","Aktif"))</f>
        <v/>
      </c>
    </row>
    <row r="25">
      <c r="A25" s="19" t="n"/>
      <c r="B25" s="19" t="n"/>
      <c r="C25" s="19" t="n"/>
      <c r="D25" s="22" t="n"/>
      <c r="E25" s="23" t="n"/>
      <c r="F25" s="20" t="n"/>
      <c r="G25" s="23" t="n"/>
      <c r="H25" s="19" t="n"/>
      <c r="I25" s="24">
        <f>IF(A25="","",MAX(0,(YEAR(PARAMETER!$C$5)-YEAR(D25))*12+MONTH(PARAMETER!$C$5)-MONTH(D25)))</f>
        <v/>
      </c>
      <c r="J25" s="25">
        <f>IF(A25="","",(E25-G25)/(F25*12))</f>
        <v/>
      </c>
      <c r="K25" s="25">
        <f>IF(A25="","",IF($H25="Garis Lurus",MIN($E25-$G25,$J25*(I25)),IF((I25)&gt;=$F25*12,$E25-$G25,MIN($E25-$G25,$E25-$E25*(1-2/$F25)^INT((I25)/12))+MIN($E25*(1-2/$F25)^INT((I25)/12)*(2/$F25),$E25-$G25-MIN($E25-$G25,$E25-$E25*(1-2/$F25)^INT((I25)/12)))*MOD((I25),12)/12)))</f>
        <v/>
      </c>
      <c r="L25" s="26">
        <f>IF(A25="","",E25-K25)</f>
        <v/>
      </c>
      <c r="M25" s="25">
        <f>IF(A25="","",K25-IF($H25="Garis Lurus",MIN($E25-$G25,$J25*(MAX(0,I25-MONTH(PARAMETER!$C$5)))),IF((MAX(0,I25-MONTH(PARAMETER!$C$5)))&gt;=$F25*12,$E25-$G25,MIN($E25-$G25,$E25-$E25*(1-2/$F25)^INT((MAX(0,I25-MONTH(PARAMETER!$C$5)))/12))+MIN($E25*(1-2/$F25)^INT((MAX(0,I25-MONTH(PARAMETER!$C$5)))/12)*(2/$F25),$E25-$G25-MIN($E25-$G25,$E25-$E25*(1-2/$F25)^INT((MAX(0,I25-MONTH(PARAMETER!$C$5)))/12)))*MOD((MAX(0,I25-MONTH(PARAMETER!$C$5))),12)/12)))</f>
        <v/>
      </c>
      <c r="N25" s="27">
        <f>IF(A25="","",IF(K25&gt;=E25-G25-0.5,"Habis disusutkan","Aktif"))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autoFilter ref="A5:N25"/>
  <mergeCells count="1">
    <mergeCell ref="A3:N3"/>
  </mergeCells>
  <conditionalFormatting sqref="N6:N25">
    <cfRule type="cellIs" priority="1" operator="equal" dxfId="0">
      <formula>"Habis disusutkan"</formula>
    </cfRule>
  </conditionalFormatting>
  <dataValidations count="3">
    <dataValidation sqref="C6:C25" showDropDown="0" showInputMessage="0" showErrorMessage="0" allowBlank="1" type="list">
      <formula1>=PARAMETER!$B$10:$B$17</formula1>
    </dataValidation>
    <dataValidation sqref="H6:H25" showDropDown="0" showInputMessage="0" showErrorMessage="0" allowBlank="1" type="list">
      <formula1>"Garis Lurus"</formula1>
    </dataValidation>
    <dataValidation sqref="F6:F25" showDropDown="0" showInputMessage="0" showErrorMessage="1" allowBlank="1" error="Isi angka antara 1 dan 50" type="whole" operator="between">
      <formula1>1</formula1>
      <formula2>50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22" customWidth="1" min="3" max="3"/>
    <col width="22" customWidth="1" min="4" max="4"/>
    <col width="22" customWidth="1" min="5" max="5"/>
    <col width="24" customWidth="1" min="6" max="6"/>
    <col width="12" customWidth="1" min="7" max="7"/>
  </cols>
  <sheetData>
    <row r="1" ht="24" customHeight="1">
      <c r="A1" s="13" t="inlineStr">
        <is>
          <t>Ringkasan per Kategori</t>
        </is>
      </c>
    </row>
    <row r="2">
      <c r="A2" s="14">
        <f>"Per "&amp;TEXT(PARAMETER!C5,"dd mmm yyyy")</f>
        <v/>
      </c>
    </row>
    <row r="3">
      <c r="A3" s="15" t="inlineStr">
        <is>
          <t>VERSI DEMO: kapasitas &amp; fitur dibatasi, data simulasi. Versi lengkap: WhatsApp 089623291732</t>
        </is>
      </c>
    </row>
    <row r="5" ht="36" customHeight="1">
      <c r="A5" s="18" t="inlineStr">
        <is>
          <t>Kategori</t>
        </is>
      </c>
      <c r="B5" s="18" t="inlineStr">
        <is>
          <t>Jumlah Aset</t>
        </is>
      </c>
      <c r="C5" s="18" t="inlineStr">
        <is>
          <t>Harga Perolehan (Rp)</t>
        </is>
      </c>
      <c r="D5" s="18" t="inlineStr">
        <is>
          <t>Akumulasi (Rp)</t>
        </is>
      </c>
      <c r="E5" s="18" t="inlineStr">
        <is>
          <t>Nilai Buku (Rp)</t>
        </is>
      </c>
      <c r="F5" s="18" t="inlineStr">
        <is>
          <t>Penyusutan Tahun Berjalan (Rp)</t>
        </is>
      </c>
      <c r="G5" s="18" t="inlineStr">
        <is>
          <t>% Tersusut</t>
        </is>
      </c>
    </row>
    <row r="6">
      <c r="A6" s="28">
        <f>IF(PARAMETER!B10="","",PARAMETER!B10)</f>
        <v/>
      </c>
      <c r="B6" s="24">
        <f>IF(A6="","",COUNTIF(ASET!$C$6:$C$25,A6))</f>
        <v/>
      </c>
      <c r="C6" s="25">
        <f>IF(A6="","",SUMIFS(ASET!$E$6:$E$25,ASET!$C$6:$C$25,A6))</f>
        <v/>
      </c>
      <c r="D6" s="25">
        <f>IF(A6="","",SUMIFS(ASET!$K$6:$K$25,ASET!$C$6:$C$25,A6))</f>
        <v/>
      </c>
      <c r="E6" s="25">
        <f>IF(A6="","",SUMIFS(ASET!$L$6:$L$25,ASET!$C$6:$C$25,A6))</f>
        <v/>
      </c>
      <c r="F6" s="25">
        <f>IF(A6="","",SUMIFS(ASET!$M$6:$M$25,ASET!$C$6:$C$25,A6))</f>
        <v/>
      </c>
      <c r="G6" s="29">
        <f>IF(A6="","",IF(C6=0,0,D6/C6))</f>
        <v/>
      </c>
    </row>
    <row r="7">
      <c r="A7" s="28">
        <f>IF(PARAMETER!B11="","",PARAMETER!B11)</f>
        <v/>
      </c>
      <c r="B7" s="24">
        <f>IF(A7="","",COUNTIF(ASET!$C$6:$C$25,A7))</f>
        <v/>
      </c>
      <c r="C7" s="25">
        <f>IF(A7="","",SUMIFS(ASET!$E$6:$E$25,ASET!$C$6:$C$25,A7))</f>
        <v/>
      </c>
      <c r="D7" s="25">
        <f>IF(A7="","",SUMIFS(ASET!$K$6:$K$25,ASET!$C$6:$C$25,A7))</f>
        <v/>
      </c>
      <c r="E7" s="25">
        <f>IF(A7="","",SUMIFS(ASET!$L$6:$L$25,ASET!$C$6:$C$25,A7))</f>
        <v/>
      </c>
      <c r="F7" s="25">
        <f>IF(A7="","",SUMIFS(ASET!$M$6:$M$25,ASET!$C$6:$C$25,A7))</f>
        <v/>
      </c>
      <c r="G7" s="29">
        <f>IF(A7="","",IF(C7=0,0,D7/C7))</f>
        <v/>
      </c>
    </row>
    <row r="8">
      <c r="A8" s="28">
        <f>IF(PARAMETER!B12="","",PARAMETER!B12)</f>
        <v/>
      </c>
      <c r="B8" s="24">
        <f>IF(A8="","",COUNTIF(ASET!$C$6:$C$25,A8))</f>
        <v/>
      </c>
      <c r="C8" s="25">
        <f>IF(A8="","",SUMIFS(ASET!$E$6:$E$25,ASET!$C$6:$C$25,A8))</f>
        <v/>
      </c>
      <c r="D8" s="25">
        <f>IF(A8="","",SUMIFS(ASET!$K$6:$K$25,ASET!$C$6:$C$25,A8))</f>
        <v/>
      </c>
      <c r="E8" s="25">
        <f>IF(A8="","",SUMIFS(ASET!$L$6:$L$25,ASET!$C$6:$C$25,A8))</f>
        <v/>
      </c>
      <c r="F8" s="25">
        <f>IF(A8="","",SUMIFS(ASET!$M$6:$M$25,ASET!$C$6:$C$25,A8))</f>
        <v/>
      </c>
      <c r="G8" s="29">
        <f>IF(A8="","",IF(C8=0,0,D8/C8))</f>
        <v/>
      </c>
    </row>
    <row r="9">
      <c r="A9" s="28">
        <f>IF(PARAMETER!B13="","",PARAMETER!B13)</f>
        <v/>
      </c>
      <c r="B9" s="24">
        <f>IF(A9="","",COUNTIF(ASET!$C$6:$C$25,A9))</f>
        <v/>
      </c>
      <c r="C9" s="25">
        <f>IF(A9="","",SUMIFS(ASET!$E$6:$E$25,ASET!$C$6:$C$25,A9))</f>
        <v/>
      </c>
      <c r="D9" s="25">
        <f>IF(A9="","",SUMIFS(ASET!$K$6:$K$25,ASET!$C$6:$C$25,A9))</f>
        <v/>
      </c>
      <c r="E9" s="25">
        <f>IF(A9="","",SUMIFS(ASET!$L$6:$L$25,ASET!$C$6:$C$25,A9))</f>
        <v/>
      </c>
      <c r="F9" s="25">
        <f>IF(A9="","",SUMIFS(ASET!$M$6:$M$25,ASET!$C$6:$C$25,A9))</f>
        <v/>
      </c>
      <c r="G9" s="29">
        <f>IF(A9="","",IF(C9=0,0,D9/C9))</f>
        <v/>
      </c>
    </row>
    <row r="10">
      <c r="A10" s="28">
        <f>IF(PARAMETER!B14="","",PARAMETER!B14)</f>
        <v/>
      </c>
      <c r="B10" s="24">
        <f>IF(A10="","",COUNTIF(ASET!$C$6:$C$25,A10))</f>
        <v/>
      </c>
      <c r="C10" s="25">
        <f>IF(A10="","",SUMIFS(ASET!$E$6:$E$25,ASET!$C$6:$C$25,A10))</f>
        <v/>
      </c>
      <c r="D10" s="25">
        <f>IF(A10="","",SUMIFS(ASET!$K$6:$K$25,ASET!$C$6:$C$25,A10))</f>
        <v/>
      </c>
      <c r="E10" s="25">
        <f>IF(A10="","",SUMIFS(ASET!$L$6:$L$25,ASET!$C$6:$C$25,A10))</f>
        <v/>
      </c>
      <c r="F10" s="25">
        <f>IF(A10="","",SUMIFS(ASET!$M$6:$M$25,ASET!$C$6:$C$25,A10))</f>
        <v/>
      </c>
      <c r="G10" s="29">
        <f>IF(A10="","",IF(C10=0,0,D10/C10))</f>
        <v/>
      </c>
    </row>
    <row r="11">
      <c r="A11" s="28">
        <f>IF(PARAMETER!B15="","",PARAMETER!B15)</f>
        <v/>
      </c>
      <c r="B11" s="24">
        <f>IF(A11="","",COUNTIF(ASET!$C$6:$C$25,A11))</f>
        <v/>
      </c>
      <c r="C11" s="25">
        <f>IF(A11="","",SUMIFS(ASET!$E$6:$E$25,ASET!$C$6:$C$25,A11))</f>
        <v/>
      </c>
      <c r="D11" s="25">
        <f>IF(A11="","",SUMIFS(ASET!$K$6:$K$25,ASET!$C$6:$C$25,A11))</f>
        <v/>
      </c>
      <c r="E11" s="25">
        <f>IF(A11="","",SUMIFS(ASET!$L$6:$L$25,ASET!$C$6:$C$25,A11))</f>
        <v/>
      </c>
      <c r="F11" s="25">
        <f>IF(A11="","",SUMIFS(ASET!$M$6:$M$25,ASET!$C$6:$C$25,A11))</f>
        <v/>
      </c>
      <c r="G11" s="29">
        <f>IF(A11="","",IF(C11=0,0,D11/C11))</f>
        <v/>
      </c>
    </row>
    <row r="12">
      <c r="A12" s="28">
        <f>IF(PARAMETER!B16="","",PARAMETER!B16)</f>
        <v/>
      </c>
      <c r="B12" s="24">
        <f>IF(A12="","",COUNTIF(ASET!$C$6:$C$25,A12))</f>
        <v/>
      </c>
      <c r="C12" s="25">
        <f>IF(A12="","",SUMIFS(ASET!$E$6:$E$25,ASET!$C$6:$C$25,A12))</f>
        <v/>
      </c>
      <c r="D12" s="25">
        <f>IF(A12="","",SUMIFS(ASET!$K$6:$K$25,ASET!$C$6:$C$25,A12))</f>
        <v/>
      </c>
      <c r="E12" s="25">
        <f>IF(A12="","",SUMIFS(ASET!$L$6:$L$25,ASET!$C$6:$C$25,A12))</f>
        <v/>
      </c>
      <c r="F12" s="25">
        <f>IF(A12="","",SUMIFS(ASET!$M$6:$M$25,ASET!$C$6:$C$25,A12))</f>
        <v/>
      </c>
      <c r="G12" s="29">
        <f>IF(A12="","",IF(C12=0,0,D12/C12))</f>
        <v/>
      </c>
    </row>
    <row r="13">
      <c r="A13" s="28">
        <f>IF(PARAMETER!B17="","",PARAMETER!B17)</f>
        <v/>
      </c>
      <c r="B13" s="24">
        <f>IF(A13="","",COUNTIF(ASET!$C$6:$C$25,A13))</f>
        <v/>
      </c>
      <c r="C13" s="25">
        <f>IF(A13="","",SUMIFS(ASET!$E$6:$E$25,ASET!$C$6:$C$25,A13))</f>
        <v/>
      </c>
      <c r="D13" s="25">
        <f>IF(A13="","",SUMIFS(ASET!$K$6:$K$25,ASET!$C$6:$C$25,A13))</f>
        <v/>
      </c>
      <c r="E13" s="25">
        <f>IF(A13="","",SUMIFS(ASET!$L$6:$L$25,ASET!$C$6:$C$25,A13))</f>
        <v/>
      </c>
      <c r="F13" s="25">
        <f>IF(A13="","",SUMIFS(ASET!$M$6:$M$25,ASET!$C$6:$C$25,A13))</f>
        <v/>
      </c>
      <c r="G13" s="29">
        <f>IF(A13="","",IF(C13=0,0,D13/C13))</f>
        <v/>
      </c>
    </row>
    <row r="14">
      <c r="A14" s="30" t="inlineStr">
        <is>
          <t>TOTAL</t>
        </is>
      </c>
      <c r="B14" s="31">
        <f>SUM(B6:B13)</f>
        <v/>
      </c>
      <c r="C14" s="32">
        <f>SUM(C6:C13)</f>
        <v/>
      </c>
      <c r="D14" s="32">
        <f>SUM(D6:D13)</f>
        <v/>
      </c>
      <c r="E14" s="32">
        <f>SUM(E6:E13)</f>
        <v/>
      </c>
      <c r="F14" s="32">
        <f>SUM(F6:F13)</f>
        <v/>
      </c>
      <c r="G14" s="33">
        <f>IF(C14=0,0,D14/C14)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A3:G3"/>
  </mergeCells>
  <conditionalFormatting sqref="G6:G13">
    <cfRule type="dataBar" priority="1">
      <dataBar>
        <cfvo type="num" val="0"/>
        <cfvo type="num" val="1"/>
        <color rgb="000EA5A4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Mantam Product</dc:creator>
  <dc:title xmlns:dc="http://purl.org/dc/elements/1.1/">Register Aset Tetap (Demo)</dc:title>
  <dc:subject xmlns:dc="http://purl.org/dc/elements/1.1/">Lisensi: demo</dc:subject>
  <dcterms:created xmlns:dcterms="http://purl.org/dc/terms/" xmlns:xsi="http://www.w3.org/2001/XMLSchema-instance" xsi:type="dcterms:W3CDTF">2026-10-29T09:42:46Z</dcterms:created>
  <dcterms:modified xmlns:dcterms="http://purl.org/dc/terms/" xmlns:xsi="http://www.w3.org/2001/XMLSchema-instance" xsi:type="dcterms:W3CDTF">2026-10-29T09:42:46Z</dcterms:modified>
</cp:coreProperties>
</file>