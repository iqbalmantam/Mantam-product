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KARYAWAN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'KARYAWAN'!$A$5:$W$45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"/>
    <numFmt numFmtId="167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5B6B82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D0D7E2"/>
      </top>
      <bottom/>
      <diagonal/>
    </border>
    <border>
      <left/>
      <right style="thin">
        <color rgb="00D0D7E2"/>
      </right>
      <top style="thin">
        <color rgb="00D0D7E2"/>
      </top>
      <bottom/>
      <diagonal/>
    </border>
    <border>
      <left/>
      <right/>
      <top style="thin">
        <color rgb="00D0D7E2"/>
      </top>
      <bottom style="thin">
        <color rgb="00D0D7E2"/>
      </bottom>
      <diagonal/>
    </border>
    <border>
      <left/>
      <right style="thin">
        <color rgb="00D0D7E2"/>
      </right>
      <top style="thin">
        <color rgb="00D0D7E2"/>
      </top>
      <bottom style="thin">
        <color rgb="00D0D7E2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13" fillId="0" borderId="0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center" vertical="center" wrapText="1"/>
    </xf>
    <xf numFmtId="166" fontId="9" fillId="3" borderId="1" applyAlignment="1" applyProtection="1" pivotButton="0" quotePrefix="0" xfId="0">
      <alignment horizontal="center" vertical="center"/>
      <protection locked="0" hidden="0"/>
    </xf>
    <xf numFmtId="0" fontId="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" fontId="8" fillId="0" borderId="1" applyAlignment="1" pivotButton="0" quotePrefix="0" xfId="0">
      <alignment horizontal="center" vertical="center"/>
    </xf>
    <xf numFmtId="0" fontId="9" fillId="0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165" fontId="9" fillId="0" borderId="1" applyAlignment="1" applyProtection="1" pivotButton="0" quotePrefix="0" xfId="0">
      <alignment horizontal="center" vertical="center"/>
      <protection locked="0" hidden="0"/>
    </xf>
    <xf numFmtId="166" fontId="9" fillId="0" borderId="1" applyAlignment="1" applyProtection="1" pivotButton="0" quotePrefix="0" xfId="0">
      <alignment horizontal="center" vertical="center"/>
      <protection locked="0" hidden="0"/>
    </xf>
    <xf numFmtId="166" fontId="8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8" fillId="5" borderId="1" pivotButton="0" quotePrefix="0" xfId="0"/>
    <xf numFmtId="1" fontId="7" fillId="5" borderId="1" applyAlignment="1" pivotButton="0" quotePrefix="0" xfId="0">
      <alignment horizontal="center" vertical="center"/>
    </xf>
    <xf numFmtId="167" fontId="7" fillId="5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Jumlah Karyawan per Kotak 9-Box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'RINGKASAN'!C5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'RINGKASAN'!$B$6:$B$14</f>
            </numRef>
          </cat>
          <val>
            <numRef>
              <f>'RINGKASAN'!$C$6:$C$14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Talent Review 9-Box &amp; Kompetensi</t>
        </is>
      </c>
    </row>
    <row r="3" ht="44" customHeight="1">
      <c r="B3" s="3" t="inlineStr">
        <is>
          <t>Petakan kinerja dan potensi karyawan ke matriks 9-box, ukur gap kompetensi, dan tetapkan tindakan pengembangan.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Atur ambang, bobot, dan target kompetensi di PARAMETER (sel kuning).</t>
        </is>
      </c>
    </row>
    <row r="9" ht="16" customHeight="1">
      <c r="B9" s="8" t="inlineStr">
        <is>
          <t>Langkah 2</t>
        </is>
      </c>
      <c r="C9" s="9" t="inlineStr">
        <is>
          <t>Isi data karyawan di KARYAWAN: kinerja dan potensi (skala 1-5) serta skor 6 kompetensi.</t>
        </is>
      </c>
    </row>
    <row r="10" ht="16" customHeight="1">
      <c r="B10" s="8" t="inlineStr">
        <is>
          <t>Langkah 3</t>
        </is>
      </c>
      <c r="C10" s="9" t="inlineStr">
        <is>
          <t>Kotak 9-box, skor kompetensi, gap, fokus pengembangan, dan tindakan terisi otomatis.</t>
        </is>
      </c>
    </row>
    <row r="11" ht="16" customHeight="1">
      <c r="B11" s="8" t="inlineStr">
        <is>
          <t>Langkah 4</t>
        </is>
      </c>
      <c r="C11" s="9" t="inlineStr">
        <is>
          <t>Baca RINGKASAN.</t>
        </is>
      </c>
    </row>
    <row r="13">
      <c r="B13" s="6" t="inlineStr">
        <is>
          <t>Isi berkas</t>
        </is>
      </c>
      <c r="C13" s="7" t="n"/>
    </row>
    <row r="14" ht="30" customHeight="1">
      <c r="B14" s="8" t="inlineStr">
        <is>
          <t>PARAMETER</t>
        </is>
      </c>
      <c r="C14" s="9" t="inlineStr">
        <is>
          <t>Tanggal laporan, ambang Tinggi/Sedang, bobot dan target tiap kompetensi, serta tabel tindakan 9 kotak.</t>
        </is>
      </c>
    </row>
    <row r="15" ht="30" customHeight="1">
      <c r="B15" s="8" t="inlineStr">
        <is>
          <t>KARYAWAN</t>
        </is>
      </c>
      <c r="C15" s="9" t="inlineStr">
        <is>
          <t>Data karyawan (kapasitas 40): kinerja, potensi, 6 kompetensi; skor, gap, kotak 9-box, dan tindakan terisi otomatis.</t>
        </is>
      </c>
    </row>
    <row r="16" ht="16" customHeight="1">
      <c r="B16" s="8" t="inlineStr">
        <is>
          <t>RINGKASAN</t>
        </is>
      </c>
      <c r="C16" s="9" t="inlineStr">
        <is>
          <t>Sebaran karyawan per kotak 9-box dan indikator utama.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30" customHeight="1">
      <c r="C26" s="9" t="inlineStr">
        <is>
          <t>• Penilaian kinerja dan potensi bersifat subjektif; gunakan sebagai bahan diskusi kalibrasi antaratasan, bukan keputusan otomatis.</t>
        </is>
      </c>
    </row>
    <row r="27" ht="30" customHeight="1">
      <c r="C27" s="9" t="inlineStr">
        <is>
          <t>• Data karyawan bersifat rahasia; simpan dan bagikan sesuai kebijakan privasi perusahaan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Ambang level Tinggi (≥)</t>
        </is>
      </c>
      <c r="C6" s="18" t="n">
        <v>4</v>
      </c>
      <c r="D6" s="19" t="inlineStr">
        <is>
          <t>Di bawah ambang Sedang = Rendah</t>
        </is>
      </c>
    </row>
    <row r="7">
      <c r="B7" s="16" t="inlineStr">
        <is>
          <t>Ambang level Sedang (≥)</t>
        </is>
      </c>
      <c r="C7" s="18" t="n">
        <v>3</v>
      </c>
    </row>
    <row r="9">
      <c r="B9" s="6" t="inlineStr">
        <is>
          <t>KOMPETENSI</t>
        </is>
      </c>
      <c r="C9" s="7" t="n"/>
      <c r="D9" s="7" t="n"/>
      <c r="E9" s="7" t="n"/>
      <c r="F9" s="7" t="n"/>
      <c r="G9" s="7" t="n"/>
      <c r="H9" s="7" t="n"/>
    </row>
    <row r="10" ht="30" customHeight="1">
      <c r="B10" s="20" t="inlineStr">
        <is>
          <t>Kompetensi</t>
        </is>
      </c>
      <c r="C10" s="21" t="inlineStr">
        <is>
          <t>Kepemimpinan</t>
        </is>
      </c>
      <c r="D10" s="21" t="inlineStr">
        <is>
          <t>Komunikasi</t>
        </is>
      </c>
      <c r="E10" s="21" t="inlineStr">
        <is>
          <t>Analitis</t>
        </is>
      </c>
      <c r="F10" s="21" t="inlineStr">
        <is>
          <t>Kolaborasi</t>
        </is>
      </c>
      <c r="G10" s="21" t="inlineStr">
        <is>
          <t>Orientasi Hasil</t>
        </is>
      </c>
      <c r="H10" s="21" t="inlineStr">
        <is>
          <t>Inovasi</t>
        </is>
      </c>
    </row>
    <row r="11">
      <c r="B11" s="20" t="inlineStr">
        <is>
          <t>Bobot</t>
        </is>
      </c>
      <c r="C11" s="22" t="n">
        <v>1</v>
      </c>
      <c r="D11" s="22" t="n">
        <v>1</v>
      </c>
      <c r="E11" s="22" t="n">
        <v>1</v>
      </c>
      <c r="F11" s="22" t="n">
        <v>1</v>
      </c>
      <c r="G11" s="22" t="n">
        <v>1</v>
      </c>
      <c r="H11" s="22" t="n">
        <v>1</v>
      </c>
    </row>
    <row r="12">
      <c r="B12" s="20" t="inlineStr">
        <is>
          <t>Target level</t>
        </is>
      </c>
      <c r="C12" s="22" t="n">
        <v>3.5</v>
      </c>
      <c r="D12" s="22" t="n">
        <v>3.5</v>
      </c>
      <c r="E12" s="22" t="n">
        <v>3.5</v>
      </c>
      <c r="F12" s="22" t="n">
        <v>3.5</v>
      </c>
      <c r="G12" s="22" t="n">
        <v>3.5</v>
      </c>
      <c r="H12" s="22" t="n">
        <v>3.5</v>
      </c>
    </row>
    <row r="14" ht="20" customHeight="1">
      <c r="B14" s="23" t="inlineStr">
        <is>
          <t>Kotak</t>
        </is>
      </c>
      <c r="C14" s="23" t="inlineStr">
        <is>
          <t>Nama kotak</t>
        </is>
      </c>
      <c r="D14" s="23" t="inlineStr"/>
      <c r="E14" s="23" t="inlineStr">
        <is>
          <t>Tindakan yang disarankan</t>
        </is>
      </c>
      <c r="F14" s="24" t="n"/>
      <c r="G14" s="24" t="n"/>
      <c r="H14" s="25" t="n"/>
    </row>
    <row r="15" ht="28" customHeight="1">
      <c r="B15" s="26" t="n">
        <v>1</v>
      </c>
      <c r="C15" s="27" t="inlineStr">
        <is>
          <t>Risiko</t>
        </is>
      </c>
      <c r="D15" s="28" t="n"/>
      <c r="E15" s="29" t="inlineStr">
        <is>
          <t>Tinjau kesesuaian peran; rencana perbaikan 90 hari atau penempatan ulang.</t>
        </is>
      </c>
      <c r="F15" s="30" t="n"/>
      <c r="G15" s="30" t="n"/>
      <c r="H15" s="28" t="n"/>
    </row>
    <row r="16" ht="28" customHeight="1">
      <c r="B16" s="26" t="n">
        <v>2</v>
      </c>
      <c r="C16" s="27" t="inlineStr">
        <is>
          <t>Perlu Perbaikan</t>
        </is>
      </c>
      <c r="D16" s="28" t="n"/>
      <c r="E16" s="29" t="inlineStr">
        <is>
          <t>Coaching intensif, target jelas, evaluasi 60 hari.</t>
        </is>
      </c>
      <c r="F16" s="30" t="n"/>
      <c r="G16" s="30" t="n"/>
      <c r="H16" s="28" t="n"/>
    </row>
    <row r="17" ht="28" customHeight="1">
      <c r="B17" s="26" t="n">
        <v>3</v>
      </c>
      <c r="C17" s="27" t="inlineStr">
        <is>
          <t>Berlian Mentah</t>
        </is>
      </c>
      <c r="D17" s="28" t="n"/>
      <c r="E17" s="29" t="inlineStr">
        <is>
          <t>Cari akar masalah kinerja; mentor dan penugasan yang tepat.</t>
        </is>
      </c>
      <c r="F17" s="30" t="n"/>
      <c r="G17" s="30" t="n"/>
      <c r="H17" s="28" t="n"/>
    </row>
    <row r="18" ht="28" customHeight="1">
      <c r="B18" s="26" t="n">
        <v>4</v>
      </c>
      <c r="C18" s="27" t="inlineStr">
        <is>
          <t>Pemain Efektif</t>
        </is>
      </c>
      <c r="D18" s="28" t="n"/>
      <c r="E18" s="29" t="inlineStr">
        <is>
          <t>Pertahankan; tingkatkan keahlian teknis dan keterlibatan.</t>
        </is>
      </c>
      <c r="F18" s="30" t="n"/>
      <c r="G18" s="30" t="n"/>
      <c r="H18" s="28" t="n"/>
    </row>
    <row r="19" ht="28" customHeight="1">
      <c r="B19" s="26" t="n">
        <v>5</v>
      </c>
      <c r="C19" s="27" t="inlineStr">
        <is>
          <t>Pemain Inti</t>
        </is>
      </c>
      <c r="D19" s="28" t="n"/>
      <c r="E19" s="29" t="inlineStr">
        <is>
          <t>Kembangkan lewat penugasan lintas fungsi dan pelatihan terarah.</t>
        </is>
      </c>
      <c r="F19" s="30" t="n"/>
      <c r="G19" s="30" t="n"/>
      <c r="H19" s="28" t="n"/>
    </row>
    <row r="20" ht="28" customHeight="1">
      <c r="B20" s="26" t="n">
        <v>6</v>
      </c>
      <c r="C20" s="27" t="inlineStr">
        <is>
          <t>Calon Bintang</t>
        </is>
      </c>
      <c r="D20" s="28" t="n"/>
      <c r="E20" s="29" t="inlineStr">
        <is>
          <t>Program akselerasi, proyek stretch, dan eksposur ke manajemen.</t>
        </is>
      </c>
      <c r="F20" s="30" t="n"/>
      <c r="G20" s="30" t="n"/>
      <c r="H20" s="28" t="n"/>
    </row>
    <row r="21" ht="28" customHeight="1">
      <c r="B21" s="26" t="n">
        <v>7</v>
      </c>
      <c r="C21" s="27" t="inlineStr">
        <is>
          <t>Pakar Andal</t>
        </is>
      </c>
      <c r="D21" s="28" t="n"/>
      <c r="E21" s="29" t="inlineStr">
        <is>
          <t>Hargai keahlian; jadikan mentor dan rujukan teknis.</t>
        </is>
      </c>
      <c r="F21" s="30" t="n"/>
      <c r="G21" s="30" t="n"/>
      <c r="H21" s="28" t="n"/>
    </row>
    <row r="22" ht="28" customHeight="1">
      <c r="B22" s="26" t="n">
        <v>8</v>
      </c>
      <c r="C22" s="27" t="inlineStr">
        <is>
          <t>Kinerja Tinggi</t>
        </is>
      </c>
      <c r="D22" s="28" t="n"/>
      <c r="E22" s="29" t="inlineStr">
        <is>
          <t>Perluas tanggung jawab; siapkan jalur karier lanjutan.</t>
        </is>
      </c>
      <c r="F22" s="30" t="n"/>
      <c r="G22" s="30" t="n"/>
      <c r="H22" s="28" t="n"/>
    </row>
    <row r="23" ht="28" customHeight="1">
      <c r="B23" s="26" t="n">
        <v>9</v>
      </c>
      <c r="C23" s="27" t="inlineStr">
        <is>
          <t>Bintang</t>
        </is>
      </c>
      <c r="D23" s="28" t="n"/>
      <c r="E23" s="29" t="inlineStr">
        <is>
          <t>Percepat promosi, masukkan daftar suksesi, dan jaga retensi.</t>
        </is>
      </c>
      <c r="F23" s="30" t="n"/>
      <c r="G23" s="30" t="n"/>
      <c r="H23" s="28" t="n"/>
    </row>
    <row r="25">
      <c r="B25" s="19" t="inlineStr">
        <is>
          <t>Nomor kotak = (level kinerja − 1) × 3 + level potensi, dengan level 1 = Rendah, 2 = Sedang, 3 = Tinggi.</t>
        </is>
      </c>
    </row>
    <row r="27" ht="20" customHeight="1">
      <c r="B27" s="23" t="inlineStr">
        <is>
          <t>Departemen</t>
        </is>
      </c>
    </row>
    <row r="28">
      <c r="B28" s="27" t="inlineStr">
        <is>
          <t>Operasional</t>
        </is>
      </c>
    </row>
    <row r="29">
      <c r="B29" s="27" t="inlineStr">
        <is>
          <t>Keuangan</t>
        </is>
      </c>
    </row>
    <row r="30">
      <c r="B30" s="27" t="inlineStr">
        <is>
          <t>Pemasaran</t>
        </is>
      </c>
    </row>
    <row r="31">
      <c r="B31" s="27" t="inlineStr">
        <is>
          <t>SDM</t>
        </is>
      </c>
    </row>
    <row r="32">
      <c r="B32" s="27" t="n"/>
    </row>
    <row r="33">
      <c r="B33" s="27" t="n"/>
    </row>
    <row r="34">
      <c r="B34" s="27" t="n"/>
    </row>
    <row r="35">
      <c r="B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C15:D15"/>
    <mergeCell ref="E16:H16"/>
    <mergeCell ref="E22:H22"/>
    <mergeCell ref="C20:D20"/>
    <mergeCell ref="E18:H18"/>
    <mergeCell ref="C16:D16"/>
    <mergeCell ref="E21:H21"/>
    <mergeCell ref="C22:D22"/>
    <mergeCell ref="E14:H14"/>
    <mergeCell ref="A3:H3"/>
    <mergeCell ref="E17:H17"/>
    <mergeCell ref="E23:H23"/>
    <mergeCell ref="C21:D21"/>
    <mergeCell ref="E20:H20"/>
    <mergeCell ref="E19:H19"/>
    <mergeCell ref="C17:D17"/>
    <mergeCell ref="C23:D23"/>
    <mergeCell ref="C19:D19"/>
    <mergeCell ref="E15:H15"/>
    <mergeCell ref="C18:D18"/>
  </mergeCells>
  <dataValidations count="3">
    <dataValidation sqref="C11:H11" showDropDown="0" showInputMessage="0" showErrorMessage="1" allowBlank="1" error="Isi angka antara 0 dan 10" type="decimal" operator="between">
      <formula1>0</formula1>
      <formula2>10</formula2>
    </dataValidation>
    <dataValidation sqref="C12:H12" showDropDown="0" showInputMessage="0" showErrorMessage="1" allowBlank="1" error="Isi angka antara 1 dan 5" type="decimal" operator="between">
      <formula1>1</formula1>
      <formula2>5</formula2>
    </dataValidation>
    <dataValidation sqref="C6:C7" showDropDown="0" showInputMessage="0" showErrorMessage="1" allowBlank="1" error="Isi angka antara 1 dan 5" type="decimal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3" customWidth="1" min="4" max="4"/>
    <col width="7" customWidth="1" min="5" max="5"/>
    <col width="12" customWidth="1" min="6" max="6"/>
    <col width="9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  <col width="9" customWidth="1" min="18" max="18"/>
    <col width="9" customWidth="1" min="19" max="19"/>
    <col width="7" customWidth="1" min="20" max="20"/>
    <col width="17" customWidth="1" min="21" max="21"/>
    <col width="17" customWidth="1" min="22" max="22"/>
    <col width="50" customWidth="1" min="23" max="23"/>
  </cols>
  <sheetData>
    <row r="1" ht="24" customHeight="1">
      <c r="A1" s="13" t="inlineStr">
        <is>
          <t>Data Karyawan</t>
        </is>
      </c>
    </row>
    <row r="2">
      <c r="A2" s="14" t="inlineStr">
        <is>
          <t>Kapasitas 40 baris. Skor 1-5 dengan satu desimal.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23" t="inlineStr">
        <is>
          <t>ID</t>
        </is>
      </c>
      <c r="B5" s="23" t="inlineStr">
        <is>
          <t>Nama</t>
        </is>
      </c>
      <c r="C5" s="23" t="inlineStr">
        <is>
          <t>Departemen</t>
        </is>
      </c>
      <c r="D5" s="23" t="inlineStr">
        <is>
          <t>Jabatan</t>
        </is>
      </c>
      <c r="E5" s="23" t="inlineStr">
        <is>
          <t>Grade</t>
        </is>
      </c>
      <c r="F5" s="23" t="inlineStr">
        <is>
          <t>Tgl Masuk</t>
        </is>
      </c>
      <c r="G5" s="23" t="inlineStr">
        <is>
          <t>Kinerja (1-5)</t>
        </is>
      </c>
      <c r="H5" s="23" t="inlineStr">
        <is>
          <t>Potensi (1-5)</t>
        </is>
      </c>
      <c r="I5" s="23" t="inlineStr">
        <is>
          <t>Kepemimpinan</t>
        </is>
      </c>
      <c r="J5" s="23" t="inlineStr">
        <is>
          <t>Komunikasi</t>
        </is>
      </c>
      <c r="K5" s="23" t="inlineStr">
        <is>
          <t>Analitis</t>
        </is>
      </c>
      <c r="L5" s="23" t="inlineStr">
        <is>
          <t>Kolaborasi</t>
        </is>
      </c>
      <c r="M5" s="23" t="inlineStr">
        <is>
          <t>Orientasi Hasil</t>
        </is>
      </c>
      <c r="N5" s="23" t="inlineStr">
        <is>
          <t>Inovasi</t>
        </is>
      </c>
      <c r="O5" s="23" t="inlineStr">
        <is>
          <t>Masa Kerja (thn)</t>
        </is>
      </c>
      <c r="P5" s="23" t="inlineStr">
        <is>
          <t>Skor Kompetensi</t>
        </is>
      </c>
      <c r="Q5" s="23" t="inlineStr">
        <is>
          <t>Gap Rata-rata</t>
        </is>
      </c>
      <c r="R5" s="23" t="inlineStr">
        <is>
          <t>Level Kinerja</t>
        </is>
      </c>
      <c r="S5" s="23" t="inlineStr">
        <is>
          <t>Level Potensi</t>
        </is>
      </c>
      <c r="T5" s="23" t="inlineStr">
        <is>
          <t>Kotak</t>
        </is>
      </c>
      <c r="U5" s="23" t="inlineStr">
        <is>
          <t>Nama Kotak</t>
        </is>
      </c>
      <c r="V5" s="23" t="inlineStr">
        <is>
          <t>Fokus Pengembangan</t>
        </is>
      </c>
      <c r="W5" s="23" t="inlineStr">
        <is>
          <t>Tindakan</t>
        </is>
      </c>
    </row>
    <row r="6">
      <c r="A6" s="27" t="inlineStr">
        <is>
          <t>K-001</t>
        </is>
      </c>
      <c r="B6" s="27" t="inlineStr">
        <is>
          <t>Yusuf Kusuma</t>
        </is>
      </c>
      <c r="C6" s="27" t="inlineStr">
        <is>
          <t>SDM</t>
        </is>
      </c>
      <c r="D6" s="27" t="inlineStr">
        <is>
          <t>Staf</t>
        </is>
      </c>
      <c r="E6" s="31" t="inlineStr">
        <is>
          <t>G6</t>
        </is>
      </c>
      <c r="F6" s="32" t="n">
        <v>43667</v>
      </c>
      <c r="G6" s="33" t="n">
        <v>4.1</v>
      </c>
      <c r="H6" s="33" t="n">
        <v>4</v>
      </c>
      <c r="I6" s="33" t="n">
        <v>3.5</v>
      </c>
      <c r="J6" s="33" t="n">
        <v>3.8</v>
      </c>
      <c r="K6" s="33" t="n">
        <v>3.4</v>
      </c>
      <c r="L6" s="33" t="n">
        <v>2.7</v>
      </c>
      <c r="M6" s="33" t="n">
        <v>4.9</v>
      </c>
      <c r="N6" s="33" t="n">
        <v>3.4</v>
      </c>
      <c r="O6" s="34">
        <f>IF($A6="","",ROUND((PARAMETER!$C$5-F6)/365.25,1))</f>
        <v/>
      </c>
      <c r="P6" s="35">
        <f>IF($A6="","",SUMPRODUCT(I6:N6,PARAMETER!$C$11:$H$11)/SUM(PARAMETER!$C$11:$H$11))</f>
        <v/>
      </c>
      <c r="Q6" s="35">
        <f>IF($A6="","",SUMPRODUCT((PARAMETER!$C$12:$H$12-I6:N6&gt;0)*(PARAMETER!$C$12:$H$12-I6:N6))/6)</f>
        <v/>
      </c>
      <c r="R6" s="26">
        <f>IF($A6="","",IF(G6&gt;=PARAMETER!$C$6,3,IF(G6&gt;=PARAMETER!$C$7,2,1)))</f>
        <v/>
      </c>
      <c r="S6" s="26">
        <f>IF($A6="","",IF(H6&gt;=PARAMETER!$C$6,3,IF(H6&gt;=PARAMETER!$C$7,2,1)))</f>
        <v/>
      </c>
      <c r="T6" s="26">
        <f>IF($A6="","",(R6-1)*3+S6)</f>
        <v/>
      </c>
      <c r="U6" s="36">
        <f>IF($A6="","",INDEX(PARAMETER!$C$15:$C$23,T6))</f>
        <v/>
      </c>
      <c r="V6" s="36">
        <f>IF($A6="","",INDEX(PARAMETER!$C$10:$H$10,MATCH(MIN(I6:N6),I6:N6,0)))</f>
        <v/>
      </c>
      <c r="W6" s="36">
        <f>IF($A6="","",INDEX(PARAMETER!$E$15:$E$23,T6))</f>
        <v/>
      </c>
    </row>
    <row r="7">
      <c r="A7" s="27" t="inlineStr">
        <is>
          <t>K-002</t>
        </is>
      </c>
      <c r="B7" s="27" t="inlineStr">
        <is>
          <t>Wulan Lestari</t>
        </is>
      </c>
      <c r="C7" s="27" t="inlineStr">
        <is>
          <t>Pemasaran</t>
        </is>
      </c>
      <c r="D7" s="27" t="inlineStr">
        <is>
          <t>Staf</t>
        </is>
      </c>
      <c r="E7" s="31" t="inlineStr">
        <is>
          <t>G4</t>
        </is>
      </c>
      <c r="F7" s="32" t="n">
        <v>46001</v>
      </c>
      <c r="G7" s="33" t="n">
        <v>3.7</v>
      </c>
      <c r="H7" s="33" t="n">
        <v>3.4</v>
      </c>
      <c r="I7" s="33" t="n">
        <v>4.1</v>
      </c>
      <c r="J7" s="33" t="n">
        <v>4.2</v>
      </c>
      <c r="K7" s="33" t="n">
        <v>3.7</v>
      </c>
      <c r="L7" s="33" t="n">
        <v>3.6</v>
      </c>
      <c r="M7" s="33" t="n">
        <v>3.1</v>
      </c>
      <c r="N7" s="33" t="n">
        <v>3.2</v>
      </c>
      <c r="O7" s="34">
        <f>IF($A7="","",ROUND((PARAMETER!$C$5-F7)/365.25,1))</f>
        <v/>
      </c>
      <c r="P7" s="35">
        <f>IF($A7="","",SUMPRODUCT(I7:N7,PARAMETER!$C$11:$H$11)/SUM(PARAMETER!$C$11:$H$11))</f>
        <v/>
      </c>
      <c r="Q7" s="35">
        <f>IF($A7="","",SUMPRODUCT((PARAMETER!$C$12:$H$12-I7:N7&gt;0)*(PARAMETER!$C$12:$H$12-I7:N7))/6)</f>
        <v/>
      </c>
      <c r="R7" s="26">
        <f>IF($A7="","",IF(G7&gt;=PARAMETER!$C$6,3,IF(G7&gt;=PARAMETER!$C$7,2,1)))</f>
        <v/>
      </c>
      <c r="S7" s="26">
        <f>IF($A7="","",IF(H7&gt;=PARAMETER!$C$6,3,IF(H7&gt;=PARAMETER!$C$7,2,1)))</f>
        <v/>
      </c>
      <c r="T7" s="26">
        <f>IF($A7="","",(R7-1)*3+S7)</f>
        <v/>
      </c>
      <c r="U7" s="36">
        <f>IF($A7="","",INDEX(PARAMETER!$C$15:$C$23,T7))</f>
        <v/>
      </c>
      <c r="V7" s="36">
        <f>IF($A7="","",INDEX(PARAMETER!$C$10:$H$10,MATCH(MIN(I7:N7),I7:N7,0)))</f>
        <v/>
      </c>
      <c r="W7" s="36">
        <f>IF($A7="","",INDEX(PARAMETER!$E$15:$E$23,T7))</f>
        <v/>
      </c>
    </row>
    <row r="8">
      <c r="A8" s="27" t="inlineStr">
        <is>
          <t>K-003</t>
        </is>
      </c>
      <c r="B8" s="27" t="inlineStr">
        <is>
          <t>Kevin Lestari</t>
        </is>
      </c>
      <c r="C8" s="27" t="inlineStr">
        <is>
          <t>Operasional</t>
        </is>
      </c>
      <c r="D8" s="27" t="inlineStr">
        <is>
          <t>Supervisor</t>
        </is>
      </c>
      <c r="E8" s="31" t="inlineStr">
        <is>
          <t>G6</t>
        </is>
      </c>
      <c r="F8" s="32" t="n">
        <v>46165</v>
      </c>
      <c r="G8" s="33" t="n">
        <v>4.2</v>
      </c>
      <c r="H8" s="33" t="n">
        <v>4.1</v>
      </c>
      <c r="I8" s="33" t="n">
        <v>3.6</v>
      </c>
      <c r="J8" s="33" t="n">
        <v>4.5</v>
      </c>
      <c r="K8" s="33" t="n">
        <v>4</v>
      </c>
      <c r="L8" s="33" t="n">
        <v>3.8</v>
      </c>
      <c r="M8" s="33" t="n">
        <v>3.7</v>
      </c>
      <c r="N8" s="33" t="n">
        <v>3.8</v>
      </c>
      <c r="O8" s="34">
        <f>IF($A8="","",ROUND((PARAMETER!$C$5-F8)/365.25,1))</f>
        <v/>
      </c>
      <c r="P8" s="35">
        <f>IF($A8="","",SUMPRODUCT(I8:N8,PARAMETER!$C$11:$H$11)/SUM(PARAMETER!$C$11:$H$11))</f>
        <v/>
      </c>
      <c r="Q8" s="35">
        <f>IF($A8="","",SUMPRODUCT((PARAMETER!$C$12:$H$12-I8:N8&gt;0)*(PARAMETER!$C$12:$H$12-I8:N8))/6)</f>
        <v/>
      </c>
      <c r="R8" s="26">
        <f>IF($A8="","",IF(G8&gt;=PARAMETER!$C$6,3,IF(G8&gt;=PARAMETER!$C$7,2,1)))</f>
        <v/>
      </c>
      <c r="S8" s="26">
        <f>IF($A8="","",IF(H8&gt;=PARAMETER!$C$6,3,IF(H8&gt;=PARAMETER!$C$7,2,1)))</f>
        <v/>
      </c>
      <c r="T8" s="26">
        <f>IF($A8="","",(R8-1)*3+S8)</f>
        <v/>
      </c>
      <c r="U8" s="36">
        <f>IF($A8="","",INDEX(PARAMETER!$C$15:$C$23,T8))</f>
        <v/>
      </c>
      <c r="V8" s="36">
        <f>IF($A8="","",INDEX(PARAMETER!$C$10:$H$10,MATCH(MIN(I8:N8),I8:N8,0)))</f>
        <v/>
      </c>
      <c r="W8" s="36">
        <f>IF($A8="","",INDEX(PARAMETER!$E$15:$E$23,T8))</f>
        <v/>
      </c>
    </row>
    <row r="9">
      <c r="A9" s="27" t="inlineStr">
        <is>
          <t>K-004</t>
        </is>
      </c>
      <c r="B9" s="27" t="inlineStr">
        <is>
          <t>Salsa Nugroho</t>
        </is>
      </c>
      <c r="C9" s="27" t="inlineStr">
        <is>
          <t>SDM</t>
        </is>
      </c>
      <c r="D9" s="27" t="inlineStr">
        <is>
          <t>Supervisor</t>
        </is>
      </c>
      <c r="E9" s="31" t="inlineStr">
        <is>
          <t>G3</t>
        </is>
      </c>
      <c r="F9" s="32" t="n">
        <v>46110</v>
      </c>
      <c r="G9" s="33" t="n">
        <v>3.5</v>
      </c>
      <c r="H9" s="33" t="n">
        <v>3.4</v>
      </c>
      <c r="I9" s="33" t="n">
        <v>3</v>
      </c>
      <c r="J9" s="33" t="n">
        <v>3.2</v>
      </c>
      <c r="K9" s="33" t="n">
        <v>3.4</v>
      </c>
      <c r="L9" s="33" t="n">
        <v>3.8</v>
      </c>
      <c r="M9" s="33" t="n">
        <v>3.1</v>
      </c>
      <c r="N9" s="33" t="n">
        <v>3</v>
      </c>
      <c r="O9" s="34">
        <f>IF($A9="","",ROUND((PARAMETER!$C$5-F9)/365.25,1))</f>
        <v/>
      </c>
      <c r="P9" s="35">
        <f>IF($A9="","",SUMPRODUCT(I9:N9,PARAMETER!$C$11:$H$11)/SUM(PARAMETER!$C$11:$H$11))</f>
        <v/>
      </c>
      <c r="Q9" s="35">
        <f>IF($A9="","",SUMPRODUCT((PARAMETER!$C$12:$H$12-I9:N9&gt;0)*(PARAMETER!$C$12:$H$12-I9:N9))/6)</f>
        <v/>
      </c>
      <c r="R9" s="26">
        <f>IF($A9="","",IF(G9&gt;=PARAMETER!$C$6,3,IF(G9&gt;=PARAMETER!$C$7,2,1)))</f>
        <v/>
      </c>
      <c r="S9" s="26">
        <f>IF($A9="","",IF(H9&gt;=PARAMETER!$C$6,3,IF(H9&gt;=PARAMETER!$C$7,2,1)))</f>
        <v/>
      </c>
      <c r="T9" s="26">
        <f>IF($A9="","",(R9-1)*3+S9)</f>
        <v/>
      </c>
      <c r="U9" s="36">
        <f>IF($A9="","",INDEX(PARAMETER!$C$15:$C$23,T9))</f>
        <v/>
      </c>
      <c r="V9" s="36">
        <f>IF($A9="","",INDEX(PARAMETER!$C$10:$H$10,MATCH(MIN(I9:N9),I9:N9,0)))</f>
        <v/>
      </c>
      <c r="W9" s="36">
        <f>IF($A9="","",INDEX(PARAMETER!$E$15:$E$23,T9))</f>
        <v/>
      </c>
    </row>
    <row r="10">
      <c r="A10" s="27" t="inlineStr">
        <is>
          <t>K-005</t>
        </is>
      </c>
      <c r="B10" s="27" t="inlineStr">
        <is>
          <t>Gilang Hidayat</t>
        </is>
      </c>
      <c r="C10" s="27" t="inlineStr">
        <is>
          <t>SDM</t>
        </is>
      </c>
      <c r="D10" s="27" t="inlineStr">
        <is>
          <t>Staf</t>
        </is>
      </c>
      <c r="E10" s="31" t="inlineStr">
        <is>
          <t>G6</t>
        </is>
      </c>
      <c r="F10" s="32" t="n">
        <v>44893</v>
      </c>
      <c r="G10" s="33" t="n">
        <v>4</v>
      </c>
      <c r="H10" s="33" t="n">
        <v>4.1</v>
      </c>
      <c r="I10" s="33" t="n">
        <v>3.2</v>
      </c>
      <c r="J10" s="33" t="n">
        <v>3.9</v>
      </c>
      <c r="K10" s="33" t="n">
        <v>3.9</v>
      </c>
      <c r="L10" s="33" t="n">
        <v>4.3</v>
      </c>
      <c r="M10" s="33" t="n">
        <v>3.7</v>
      </c>
      <c r="N10" s="33" t="n">
        <v>3.3</v>
      </c>
      <c r="O10" s="34">
        <f>IF($A10="","",ROUND((PARAMETER!$C$5-F10)/365.25,1))</f>
        <v/>
      </c>
      <c r="P10" s="35">
        <f>IF($A10="","",SUMPRODUCT(I10:N10,PARAMETER!$C$11:$H$11)/SUM(PARAMETER!$C$11:$H$11))</f>
        <v/>
      </c>
      <c r="Q10" s="35">
        <f>IF($A10="","",SUMPRODUCT((PARAMETER!$C$12:$H$12-I10:N10&gt;0)*(PARAMETER!$C$12:$H$12-I10:N10))/6)</f>
        <v/>
      </c>
      <c r="R10" s="26">
        <f>IF($A10="","",IF(G10&gt;=PARAMETER!$C$6,3,IF(G10&gt;=PARAMETER!$C$7,2,1)))</f>
        <v/>
      </c>
      <c r="S10" s="26">
        <f>IF($A10="","",IF(H10&gt;=PARAMETER!$C$6,3,IF(H10&gt;=PARAMETER!$C$7,2,1)))</f>
        <v/>
      </c>
      <c r="T10" s="26">
        <f>IF($A10="","",(R10-1)*3+S10)</f>
        <v/>
      </c>
      <c r="U10" s="36">
        <f>IF($A10="","",INDEX(PARAMETER!$C$15:$C$23,T10))</f>
        <v/>
      </c>
      <c r="V10" s="36">
        <f>IF($A10="","",INDEX(PARAMETER!$C$10:$H$10,MATCH(MIN(I10:N10),I10:N10,0)))</f>
        <v/>
      </c>
      <c r="W10" s="36">
        <f>IF($A10="","",INDEX(PARAMETER!$E$15:$E$23,T10))</f>
        <v/>
      </c>
    </row>
    <row r="11">
      <c r="A11" s="27" t="inlineStr">
        <is>
          <t>K-006</t>
        </is>
      </c>
      <c r="B11" s="27" t="inlineStr">
        <is>
          <t>Omar Setiawan</t>
        </is>
      </c>
      <c r="C11" s="27" t="inlineStr">
        <is>
          <t>SDM</t>
        </is>
      </c>
      <c r="D11" s="27" t="inlineStr">
        <is>
          <t>Senior Staf</t>
        </is>
      </c>
      <c r="E11" s="31" t="inlineStr">
        <is>
          <t>G3</t>
        </is>
      </c>
      <c r="F11" s="32" t="n">
        <v>45229</v>
      </c>
      <c r="G11" s="33" t="n">
        <v>4.4</v>
      </c>
      <c r="H11" s="33" t="n">
        <v>4.2</v>
      </c>
      <c r="I11" s="33" t="n">
        <v>4.4</v>
      </c>
      <c r="J11" s="33" t="n">
        <v>5</v>
      </c>
      <c r="K11" s="33" t="n">
        <v>3.8</v>
      </c>
      <c r="L11" s="33" t="n">
        <v>5</v>
      </c>
      <c r="M11" s="33" t="n">
        <v>3.7</v>
      </c>
      <c r="N11" s="33" t="n">
        <v>4</v>
      </c>
      <c r="O11" s="34">
        <f>IF($A11="","",ROUND((PARAMETER!$C$5-F11)/365.25,1))</f>
        <v/>
      </c>
      <c r="P11" s="35">
        <f>IF($A11="","",SUMPRODUCT(I11:N11,PARAMETER!$C$11:$H$11)/SUM(PARAMETER!$C$11:$H$11))</f>
        <v/>
      </c>
      <c r="Q11" s="35">
        <f>IF($A11="","",SUMPRODUCT((PARAMETER!$C$12:$H$12-I11:N11&gt;0)*(PARAMETER!$C$12:$H$12-I11:N11))/6)</f>
        <v/>
      </c>
      <c r="R11" s="26">
        <f>IF($A11="","",IF(G11&gt;=PARAMETER!$C$6,3,IF(G11&gt;=PARAMETER!$C$7,2,1)))</f>
        <v/>
      </c>
      <c r="S11" s="26">
        <f>IF($A11="","",IF(H11&gt;=PARAMETER!$C$6,3,IF(H11&gt;=PARAMETER!$C$7,2,1)))</f>
        <v/>
      </c>
      <c r="T11" s="26">
        <f>IF($A11="","",(R11-1)*3+S11)</f>
        <v/>
      </c>
      <c r="U11" s="36">
        <f>IF($A11="","",INDEX(PARAMETER!$C$15:$C$23,T11))</f>
        <v/>
      </c>
      <c r="V11" s="36">
        <f>IF($A11="","",INDEX(PARAMETER!$C$10:$H$10,MATCH(MIN(I11:N11),I11:N11,0)))</f>
        <v/>
      </c>
      <c r="W11" s="36">
        <f>IF($A11="","",INDEX(PARAMETER!$E$15:$E$23,T11))</f>
        <v/>
      </c>
    </row>
    <row r="12">
      <c r="A12" s="27" t="inlineStr">
        <is>
          <t>K-007</t>
        </is>
      </c>
      <c r="B12" s="27" t="inlineStr">
        <is>
          <t>Omar Nugroho</t>
        </is>
      </c>
      <c r="C12" s="27" t="inlineStr">
        <is>
          <t>Operasional</t>
        </is>
      </c>
      <c r="D12" s="27" t="inlineStr">
        <is>
          <t>Spesialis</t>
        </is>
      </c>
      <c r="E12" s="31" t="inlineStr">
        <is>
          <t>G5</t>
        </is>
      </c>
      <c r="F12" s="32" t="n">
        <v>44679</v>
      </c>
      <c r="G12" s="33" t="n">
        <v>4.9</v>
      </c>
      <c r="H12" s="33" t="n">
        <v>3.9</v>
      </c>
      <c r="I12" s="33" t="n">
        <v>3.9</v>
      </c>
      <c r="J12" s="33" t="n">
        <v>4</v>
      </c>
      <c r="K12" s="33" t="n">
        <v>5</v>
      </c>
      <c r="L12" s="33" t="n">
        <v>4.2</v>
      </c>
      <c r="M12" s="33" t="n">
        <v>4.3</v>
      </c>
      <c r="N12" s="33" t="n">
        <v>4.3</v>
      </c>
      <c r="O12" s="34">
        <f>IF($A12="","",ROUND((PARAMETER!$C$5-F12)/365.25,1))</f>
        <v/>
      </c>
      <c r="P12" s="35">
        <f>IF($A12="","",SUMPRODUCT(I12:N12,PARAMETER!$C$11:$H$11)/SUM(PARAMETER!$C$11:$H$11))</f>
        <v/>
      </c>
      <c r="Q12" s="35">
        <f>IF($A12="","",SUMPRODUCT((PARAMETER!$C$12:$H$12-I12:N12&gt;0)*(PARAMETER!$C$12:$H$12-I12:N12))/6)</f>
        <v/>
      </c>
      <c r="R12" s="26">
        <f>IF($A12="","",IF(G12&gt;=PARAMETER!$C$6,3,IF(G12&gt;=PARAMETER!$C$7,2,1)))</f>
        <v/>
      </c>
      <c r="S12" s="26">
        <f>IF($A12="","",IF(H12&gt;=PARAMETER!$C$6,3,IF(H12&gt;=PARAMETER!$C$7,2,1)))</f>
        <v/>
      </c>
      <c r="T12" s="26">
        <f>IF($A12="","",(R12-1)*3+S12)</f>
        <v/>
      </c>
      <c r="U12" s="36">
        <f>IF($A12="","",INDEX(PARAMETER!$C$15:$C$23,T12))</f>
        <v/>
      </c>
      <c r="V12" s="36">
        <f>IF($A12="","",INDEX(PARAMETER!$C$10:$H$10,MATCH(MIN(I12:N12),I12:N12,0)))</f>
        <v/>
      </c>
      <c r="W12" s="36">
        <f>IF($A12="","",INDEX(PARAMETER!$E$15:$E$23,T12))</f>
        <v/>
      </c>
    </row>
    <row r="13">
      <c r="A13" s="27" t="inlineStr">
        <is>
          <t>K-008</t>
        </is>
      </c>
      <c r="B13" s="27" t="inlineStr">
        <is>
          <t>Putra Santoso</t>
        </is>
      </c>
      <c r="C13" s="27" t="inlineStr">
        <is>
          <t>Pemasaran</t>
        </is>
      </c>
      <c r="D13" s="27" t="inlineStr">
        <is>
          <t>Senior Staf</t>
        </is>
      </c>
      <c r="E13" s="31" t="inlineStr">
        <is>
          <t>G5</t>
        </is>
      </c>
      <c r="F13" s="32" t="n">
        <v>44710</v>
      </c>
      <c r="G13" s="33" t="n">
        <v>3.5</v>
      </c>
      <c r="H13" s="33" t="n">
        <v>2.5</v>
      </c>
      <c r="I13" s="33" t="n">
        <v>3.8</v>
      </c>
      <c r="J13" s="33" t="n">
        <v>4.5</v>
      </c>
      <c r="K13" s="33" t="n">
        <v>3.5</v>
      </c>
      <c r="L13" s="33" t="n">
        <v>4.6</v>
      </c>
      <c r="M13" s="33" t="n">
        <v>3.5</v>
      </c>
      <c r="N13" s="33" t="n">
        <v>4.1</v>
      </c>
      <c r="O13" s="34">
        <f>IF($A13="","",ROUND((PARAMETER!$C$5-F13)/365.25,1))</f>
        <v/>
      </c>
      <c r="P13" s="35">
        <f>IF($A13="","",SUMPRODUCT(I13:N13,PARAMETER!$C$11:$H$11)/SUM(PARAMETER!$C$11:$H$11))</f>
        <v/>
      </c>
      <c r="Q13" s="35">
        <f>IF($A13="","",SUMPRODUCT((PARAMETER!$C$12:$H$12-I13:N13&gt;0)*(PARAMETER!$C$12:$H$12-I13:N13))/6)</f>
        <v/>
      </c>
      <c r="R13" s="26">
        <f>IF($A13="","",IF(G13&gt;=PARAMETER!$C$6,3,IF(G13&gt;=PARAMETER!$C$7,2,1)))</f>
        <v/>
      </c>
      <c r="S13" s="26">
        <f>IF($A13="","",IF(H13&gt;=PARAMETER!$C$6,3,IF(H13&gt;=PARAMETER!$C$7,2,1)))</f>
        <v/>
      </c>
      <c r="T13" s="26">
        <f>IF($A13="","",(R13-1)*3+S13)</f>
        <v/>
      </c>
      <c r="U13" s="36">
        <f>IF($A13="","",INDEX(PARAMETER!$C$15:$C$23,T13))</f>
        <v/>
      </c>
      <c r="V13" s="36">
        <f>IF($A13="","",INDEX(PARAMETER!$C$10:$H$10,MATCH(MIN(I13:N13),I13:N13,0)))</f>
        <v/>
      </c>
      <c r="W13" s="36">
        <f>IF($A13="","",INDEX(PARAMETER!$E$15:$E$23,T13))</f>
        <v/>
      </c>
    </row>
    <row r="14">
      <c r="A14" s="27" t="inlineStr">
        <is>
          <t>K-009</t>
        </is>
      </c>
      <c r="B14" s="27" t="inlineStr">
        <is>
          <t>Hana Kusuma</t>
        </is>
      </c>
      <c r="C14" s="27" t="inlineStr">
        <is>
          <t>Operasional</t>
        </is>
      </c>
      <c r="D14" s="27" t="inlineStr">
        <is>
          <t>Manajer</t>
        </is>
      </c>
      <c r="E14" s="31" t="inlineStr">
        <is>
          <t>G5</t>
        </is>
      </c>
      <c r="F14" s="32" t="n">
        <v>45097</v>
      </c>
      <c r="G14" s="33" t="n">
        <v>3.4</v>
      </c>
      <c r="H14" s="33" t="n">
        <v>3.5</v>
      </c>
      <c r="I14" s="33" t="n">
        <v>3.2</v>
      </c>
      <c r="J14" s="33" t="n">
        <v>3.2</v>
      </c>
      <c r="K14" s="33" t="n">
        <v>3.4</v>
      </c>
      <c r="L14" s="33" t="n">
        <v>3.1</v>
      </c>
      <c r="M14" s="33" t="n">
        <v>2.9</v>
      </c>
      <c r="N14" s="33" t="n">
        <v>3</v>
      </c>
      <c r="O14" s="34">
        <f>IF($A14="","",ROUND((PARAMETER!$C$5-F14)/365.25,1))</f>
        <v/>
      </c>
      <c r="P14" s="35">
        <f>IF($A14="","",SUMPRODUCT(I14:N14,PARAMETER!$C$11:$H$11)/SUM(PARAMETER!$C$11:$H$11))</f>
        <v/>
      </c>
      <c r="Q14" s="35">
        <f>IF($A14="","",SUMPRODUCT((PARAMETER!$C$12:$H$12-I14:N14&gt;0)*(PARAMETER!$C$12:$H$12-I14:N14))/6)</f>
        <v/>
      </c>
      <c r="R14" s="26">
        <f>IF($A14="","",IF(G14&gt;=PARAMETER!$C$6,3,IF(G14&gt;=PARAMETER!$C$7,2,1)))</f>
        <v/>
      </c>
      <c r="S14" s="26">
        <f>IF($A14="","",IF(H14&gt;=PARAMETER!$C$6,3,IF(H14&gt;=PARAMETER!$C$7,2,1)))</f>
        <v/>
      </c>
      <c r="T14" s="26">
        <f>IF($A14="","",(R14-1)*3+S14)</f>
        <v/>
      </c>
      <c r="U14" s="36">
        <f>IF($A14="","",INDEX(PARAMETER!$C$15:$C$23,T14))</f>
        <v/>
      </c>
      <c r="V14" s="36">
        <f>IF($A14="","",INDEX(PARAMETER!$C$10:$H$10,MATCH(MIN(I14:N14),I14:N14,0)))</f>
        <v/>
      </c>
      <c r="W14" s="36">
        <f>IF($A14="","",INDEX(PARAMETER!$E$15:$E$23,T14))</f>
        <v/>
      </c>
    </row>
    <row r="15">
      <c r="A15" s="27" t="inlineStr">
        <is>
          <t>K-010</t>
        </is>
      </c>
      <c r="B15" s="27" t="inlineStr">
        <is>
          <t>Salsa Kusuma</t>
        </is>
      </c>
      <c r="C15" s="27" t="inlineStr">
        <is>
          <t>Operasional</t>
        </is>
      </c>
      <c r="D15" s="27" t="inlineStr">
        <is>
          <t>Spesialis</t>
        </is>
      </c>
      <c r="E15" s="31" t="inlineStr">
        <is>
          <t>G3</t>
        </is>
      </c>
      <c r="F15" s="32" t="n">
        <v>44379</v>
      </c>
      <c r="G15" s="33" t="n">
        <v>3.9</v>
      </c>
      <c r="H15" s="33" t="n">
        <v>3.9</v>
      </c>
      <c r="I15" s="33" t="n">
        <v>3.9</v>
      </c>
      <c r="J15" s="33" t="n">
        <v>3.8</v>
      </c>
      <c r="K15" s="33" t="n">
        <v>4.8</v>
      </c>
      <c r="L15" s="33" t="n">
        <v>4.8</v>
      </c>
      <c r="M15" s="33" t="n">
        <v>3.6</v>
      </c>
      <c r="N15" s="33" t="n">
        <v>4</v>
      </c>
      <c r="O15" s="34">
        <f>IF($A15="","",ROUND((PARAMETER!$C$5-F15)/365.25,1))</f>
        <v/>
      </c>
      <c r="P15" s="35">
        <f>IF($A15="","",SUMPRODUCT(I15:N15,PARAMETER!$C$11:$H$11)/SUM(PARAMETER!$C$11:$H$11))</f>
        <v/>
      </c>
      <c r="Q15" s="35">
        <f>IF($A15="","",SUMPRODUCT((PARAMETER!$C$12:$H$12-I15:N15&gt;0)*(PARAMETER!$C$12:$H$12-I15:N15))/6)</f>
        <v/>
      </c>
      <c r="R15" s="26">
        <f>IF($A15="","",IF(G15&gt;=PARAMETER!$C$6,3,IF(G15&gt;=PARAMETER!$C$7,2,1)))</f>
        <v/>
      </c>
      <c r="S15" s="26">
        <f>IF($A15="","",IF(H15&gt;=PARAMETER!$C$6,3,IF(H15&gt;=PARAMETER!$C$7,2,1)))</f>
        <v/>
      </c>
      <c r="T15" s="26">
        <f>IF($A15="","",(R15-1)*3+S15)</f>
        <v/>
      </c>
      <c r="U15" s="36">
        <f>IF($A15="","",INDEX(PARAMETER!$C$15:$C$23,T15))</f>
        <v/>
      </c>
      <c r="V15" s="36">
        <f>IF($A15="","",INDEX(PARAMETER!$C$10:$H$10,MATCH(MIN(I15:N15),I15:N15,0)))</f>
        <v/>
      </c>
      <c r="W15" s="36">
        <f>IF($A15="","",INDEX(PARAMETER!$E$15:$E$23,T15))</f>
        <v/>
      </c>
    </row>
    <row r="16">
      <c r="A16" s="27" t="inlineStr">
        <is>
          <t>K-011</t>
        </is>
      </c>
      <c r="B16" s="27" t="inlineStr">
        <is>
          <t>Kevin Santoso</t>
        </is>
      </c>
      <c r="C16" s="27" t="inlineStr">
        <is>
          <t>Pemasaran</t>
        </is>
      </c>
      <c r="D16" s="27" t="inlineStr">
        <is>
          <t>Staf</t>
        </is>
      </c>
      <c r="E16" s="31" t="inlineStr">
        <is>
          <t>G6</t>
        </is>
      </c>
      <c r="F16" s="32" t="n">
        <v>45170</v>
      </c>
      <c r="G16" s="33" t="n">
        <v>5</v>
      </c>
      <c r="H16" s="33" t="n">
        <v>4.1</v>
      </c>
      <c r="I16" s="33" t="n">
        <v>3.5</v>
      </c>
      <c r="J16" s="33" t="n">
        <v>4.2</v>
      </c>
      <c r="K16" s="33" t="n">
        <v>5</v>
      </c>
      <c r="L16" s="33" t="n">
        <v>4.3</v>
      </c>
      <c r="M16" s="33" t="n">
        <v>3.5</v>
      </c>
      <c r="N16" s="33" t="n">
        <v>3.8</v>
      </c>
      <c r="O16" s="34">
        <f>IF($A16="","",ROUND((PARAMETER!$C$5-F16)/365.25,1))</f>
        <v/>
      </c>
      <c r="P16" s="35">
        <f>IF($A16="","",SUMPRODUCT(I16:N16,PARAMETER!$C$11:$H$11)/SUM(PARAMETER!$C$11:$H$11))</f>
        <v/>
      </c>
      <c r="Q16" s="35">
        <f>IF($A16="","",SUMPRODUCT((PARAMETER!$C$12:$H$12-I16:N16&gt;0)*(PARAMETER!$C$12:$H$12-I16:N16))/6)</f>
        <v/>
      </c>
      <c r="R16" s="26">
        <f>IF($A16="","",IF(G16&gt;=PARAMETER!$C$6,3,IF(G16&gt;=PARAMETER!$C$7,2,1)))</f>
        <v/>
      </c>
      <c r="S16" s="26">
        <f>IF($A16="","",IF(H16&gt;=PARAMETER!$C$6,3,IF(H16&gt;=PARAMETER!$C$7,2,1)))</f>
        <v/>
      </c>
      <c r="T16" s="26">
        <f>IF($A16="","",(R16-1)*3+S16)</f>
        <v/>
      </c>
      <c r="U16" s="36">
        <f>IF($A16="","",INDEX(PARAMETER!$C$15:$C$23,T16))</f>
        <v/>
      </c>
      <c r="V16" s="36">
        <f>IF($A16="","",INDEX(PARAMETER!$C$10:$H$10,MATCH(MIN(I16:N16),I16:N16,0)))</f>
        <v/>
      </c>
      <c r="W16" s="36">
        <f>IF($A16="","",INDEX(PARAMETER!$E$15:$E$23,T16))</f>
        <v/>
      </c>
    </row>
    <row r="17">
      <c r="A17" s="27" t="inlineStr">
        <is>
          <t>K-012</t>
        </is>
      </c>
      <c r="B17" s="27" t="inlineStr">
        <is>
          <t>Hana Permana</t>
        </is>
      </c>
      <c r="C17" s="27" t="inlineStr">
        <is>
          <t>Keuangan</t>
        </is>
      </c>
      <c r="D17" s="27" t="inlineStr">
        <is>
          <t>Manajer</t>
        </is>
      </c>
      <c r="E17" s="31" t="inlineStr">
        <is>
          <t>G4</t>
        </is>
      </c>
      <c r="F17" s="32" t="n">
        <v>42949</v>
      </c>
      <c r="G17" s="33" t="n">
        <v>3.9</v>
      </c>
      <c r="H17" s="33" t="n">
        <v>3.1</v>
      </c>
      <c r="I17" s="33" t="n">
        <v>3.7</v>
      </c>
      <c r="J17" s="33" t="n">
        <v>3.4</v>
      </c>
      <c r="K17" s="33" t="n">
        <v>3.5</v>
      </c>
      <c r="L17" s="33" t="n">
        <v>3.5</v>
      </c>
      <c r="M17" s="33" t="n">
        <v>4.2</v>
      </c>
      <c r="N17" s="33" t="n">
        <v>3.4</v>
      </c>
      <c r="O17" s="34">
        <f>IF($A17="","",ROUND((PARAMETER!$C$5-F17)/365.25,1))</f>
        <v/>
      </c>
      <c r="P17" s="35">
        <f>IF($A17="","",SUMPRODUCT(I17:N17,PARAMETER!$C$11:$H$11)/SUM(PARAMETER!$C$11:$H$11))</f>
        <v/>
      </c>
      <c r="Q17" s="35">
        <f>IF($A17="","",SUMPRODUCT((PARAMETER!$C$12:$H$12-I17:N17&gt;0)*(PARAMETER!$C$12:$H$12-I17:N17))/6)</f>
        <v/>
      </c>
      <c r="R17" s="26">
        <f>IF($A17="","",IF(G17&gt;=PARAMETER!$C$6,3,IF(G17&gt;=PARAMETER!$C$7,2,1)))</f>
        <v/>
      </c>
      <c r="S17" s="26">
        <f>IF($A17="","",IF(H17&gt;=PARAMETER!$C$6,3,IF(H17&gt;=PARAMETER!$C$7,2,1)))</f>
        <v/>
      </c>
      <c r="T17" s="26">
        <f>IF($A17="","",(R17-1)*3+S17)</f>
        <v/>
      </c>
      <c r="U17" s="36">
        <f>IF($A17="","",INDEX(PARAMETER!$C$15:$C$23,T17))</f>
        <v/>
      </c>
      <c r="V17" s="36">
        <f>IF($A17="","",INDEX(PARAMETER!$C$10:$H$10,MATCH(MIN(I17:N17),I17:N17,0)))</f>
        <v/>
      </c>
      <c r="W17" s="36">
        <f>IF($A17="","",INDEX(PARAMETER!$E$15:$E$23,T17))</f>
        <v/>
      </c>
    </row>
    <row r="18">
      <c r="A18" s="27" t="inlineStr">
        <is>
          <t>K-013</t>
        </is>
      </c>
      <c r="B18" s="27" t="inlineStr">
        <is>
          <t>Lina Wijaya</t>
        </is>
      </c>
      <c r="C18" s="27" t="inlineStr">
        <is>
          <t>Operasional</t>
        </is>
      </c>
      <c r="D18" s="27" t="inlineStr">
        <is>
          <t>Spesialis</t>
        </is>
      </c>
      <c r="E18" s="31" t="inlineStr">
        <is>
          <t>G5</t>
        </is>
      </c>
      <c r="F18" s="32" t="n">
        <v>43258</v>
      </c>
      <c r="G18" s="33" t="n">
        <v>3.1</v>
      </c>
      <c r="H18" s="33" t="n">
        <v>2.8</v>
      </c>
      <c r="I18" s="33" t="n">
        <v>3.2</v>
      </c>
      <c r="J18" s="33" t="n">
        <v>3.5</v>
      </c>
      <c r="K18" s="33" t="n">
        <v>3.4</v>
      </c>
      <c r="L18" s="33" t="n">
        <v>3.1</v>
      </c>
      <c r="M18" s="33" t="n">
        <v>3.2</v>
      </c>
      <c r="N18" s="33" t="n">
        <v>1.9</v>
      </c>
      <c r="O18" s="34">
        <f>IF($A18="","",ROUND((PARAMETER!$C$5-F18)/365.25,1))</f>
        <v/>
      </c>
      <c r="P18" s="35">
        <f>IF($A18="","",SUMPRODUCT(I18:N18,PARAMETER!$C$11:$H$11)/SUM(PARAMETER!$C$11:$H$11))</f>
        <v/>
      </c>
      <c r="Q18" s="35">
        <f>IF($A18="","",SUMPRODUCT((PARAMETER!$C$12:$H$12-I18:N18&gt;0)*(PARAMETER!$C$12:$H$12-I18:N18))/6)</f>
        <v/>
      </c>
      <c r="R18" s="26">
        <f>IF($A18="","",IF(G18&gt;=PARAMETER!$C$6,3,IF(G18&gt;=PARAMETER!$C$7,2,1)))</f>
        <v/>
      </c>
      <c r="S18" s="26">
        <f>IF($A18="","",IF(H18&gt;=PARAMETER!$C$6,3,IF(H18&gt;=PARAMETER!$C$7,2,1)))</f>
        <v/>
      </c>
      <c r="T18" s="26">
        <f>IF($A18="","",(R18-1)*3+S18)</f>
        <v/>
      </c>
      <c r="U18" s="36">
        <f>IF($A18="","",INDEX(PARAMETER!$C$15:$C$23,T18))</f>
        <v/>
      </c>
      <c r="V18" s="36">
        <f>IF($A18="","",INDEX(PARAMETER!$C$10:$H$10,MATCH(MIN(I18:N18),I18:N18,0)))</f>
        <v/>
      </c>
      <c r="W18" s="36">
        <f>IF($A18="","",INDEX(PARAMETER!$E$15:$E$23,T18))</f>
        <v/>
      </c>
    </row>
    <row r="19">
      <c r="A19" s="27" t="inlineStr">
        <is>
          <t>K-014</t>
        </is>
      </c>
      <c r="B19" s="27" t="inlineStr">
        <is>
          <t>Ulfa Permana</t>
        </is>
      </c>
      <c r="C19" s="27" t="inlineStr">
        <is>
          <t>Keuangan</t>
        </is>
      </c>
      <c r="D19" s="27" t="inlineStr">
        <is>
          <t>Staf</t>
        </is>
      </c>
      <c r="E19" s="31" t="inlineStr">
        <is>
          <t>G5</t>
        </is>
      </c>
      <c r="F19" s="32" t="n">
        <v>44779</v>
      </c>
      <c r="G19" s="33" t="n">
        <v>3.2</v>
      </c>
      <c r="H19" s="33" t="n">
        <v>2.2</v>
      </c>
      <c r="I19" s="33" t="n">
        <v>2</v>
      </c>
      <c r="J19" s="33" t="n">
        <v>2.1</v>
      </c>
      <c r="K19" s="33" t="n">
        <v>3.2</v>
      </c>
      <c r="L19" s="33" t="n">
        <v>2.4</v>
      </c>
      <c r="M19" s="33" t="n">
        <v>3.4</v>
      </c>
      <c r="N19" s="33" t="n">
        <v>2.7</v>
      </c>
      <c r="O19" s="34">
        <f>IF($A19="","",ROUND((PARAMETER!$C$5-F19)/365.25,1))</f>
        <v/>
      </c>
      <c r="P19" s="35">
        <f>IF($A19="","",SUMPRODUCT(I19:N19,PARAMETER!$C$11:$H$11)/SUM(PARAMETER!$C$11:$H$11))</f>
        <v/>
      </c>
      <c r="Q19" s="35">
        <f>IF($A19="","",SUMPRODUCT((PARAMETER!$C$12:$H$12-I19:N19&gt;0)*(PARAMETER!$C$12:$H$12-I19:N19))/6)</f>
        <v/>
      </c>
      <c r="R19" s="26">
        <f>IF($A19="","",IF(G19&gt;=PARAMETER!$C$6,3,IF(G19&gt;=PARAMETER!$C$7,2,1)))</f>
        <v/>
      </c>
      <c r="S19" s="26">
        <f>IF($A19="","",IF(H19&gt;=PARAMETER!$C$6,3,IF(H19&gt;=PARAMETER!$C$7,2,1)))</f>
        <v/>
      </c>
      <c r="T19" s="26">
        <f>IF($A19="","",(R19-1)*3+S19)</f>
        <v/>
      </c>
      <c r="U19" s="36">
        <f>IF($A19="","",INDEX(PARAMETER!$C$15:$C$23,T19))</f>
        <v/>
      </c>
      <c r="V19" s="36">
        <f>IF($A19="","",INDEX(PARAMETER!$C$10:$H$10,MATCH(MIN(I19:N19),I19:N19,0)))</f>
        <v/>
      </c>
      <c r="W19" s="36">
        <f>IF($A19="","",INDEX(PARAMETER!$E$15:$E$23,T19))</f>
        <v/>
      </c>
    </row>
    <row r="20">
      <c r="A20" s="27" t="inlineStr">
        <is>
          <t>K-015</t>
        </is>
      </c>
      <c r="B20" s="27" t="inlineStr">
        <is>
          <t>Putra Saputra</t>
        </is>
      </c>
      <c r="C20" s="27" t="inlineStr">
        <is>
          <t>Operasional</t>
        </is>
      </c>
      <c r="D20" s="27" t="inlineStr">
        <is>
          <t>Manajer</t>
        </is>
      </c>
      <c r="E20" s="31" t="inlineStr">
        <is>
          <t>G4</t>
        </is>
      </c>
      <c r="F20" s="32" t="n">
        <v>44457</v>
      </c>
      <c r="G20" s="33" t="n">
        <v>4.7</v>
      </c>
      <c r="H20" s="33" t="n">
        <v>4.4</v>
      </c>
      <c r="I20" s="33" t="n">
        <v>4</v>
      </c>
      <c r="J20" s="33" t="n">
        <v>3.3</v>
      </c>
      <c r="K20" s="33" t="n">
        <v>4.6</v>
      </c>
      <c r="L20" s="33" t="n">
        <v>4.1</v>
      </c>
      <c r="M20" s="33" t="n">
        <v>3.4</v>
      </c>
      <c r="N20" s="33" t="n">
        <v>4.4</v>
      </c>
      <c r="O20" s="34">
        <f>IF($A20="","",ROUND((PARAMETER!$C$5-F20)/365.25,1))</f>
        <v/>
      </c>
      <c r="P20" s="35">
        <f>IF($A20="","",SUMPRODUCT(I20:N20,PARAMETER!$C$11:$H$11)/SUM(PARAMETER!$C$11:$H$11))</f>
        <v/>
      </c>
      <c r="Q20" s="35">
        <f>IF($A20="","",SUMPRODUCT((PARAMETER!$C$12:$H$12-I20:N20&gt;0)*(PARAMETER!$C$12:$H$12-I20:N20))/6)</f>
        <v/>
      </c>
      <c r="R20" s="26">
        <f>IF($A20="","",IF(G20&gt;=PARAMETER!$C$6,3,IF(G20&gt;=PARAMETER!$C$7,2,1)))</f>
        <v/>
      </c>
      <c r="S20" s="26">
        <f>IF($A20="","",IF(H20&gt;=PARAMETER!$C$6,3,IF(H20&gt;=PARAMETER!$C$7,2,1)))</f>
        <v/>
      </c>
      <c r="T20" s="26">
        <f>IF($A20="","",(R20-1)*3+S20)</f>
        <v/>
      </c>
      <c r="U20" s="36">
        <f>IF($A20="","",INDEX(PARAMETER!$C$15:$C$23,T20))</f>
        <v/>
      </c>
      <c r="V20" s="36">
        <f>IF($A20="","",INDEX(PARAMETER!$C$10:$H$10,MATCH(MIN(I20:N20),I20:N20,0)))</f>
        <v/>
      </c>
      <c r="W20" s="36">
        <f>IF($A20="","",INDEX(PARAMETER!$E$15:$E$23,T20))</f>
        <v/>
      </c>
    </row>
    <row r="21">
      <c r="A21" s="27" t="inlineStr">
        <is>
          <t>K-016</t>
        </is>
      </c>
      <c r="B21" s="27" t="inlineStr">
        <is>
          <t>Tegar Permana</t>
        </is>
      </c>
      <c r="C21" s="27" t="inlineStr">
        <is>
          <t>Operasional</t>
        </is>
      </c>
      <c r="D21" s="27" t="inlineStr">
        <is>
          <t>Spesialis</t>
        </is>
      </c>
      <c r="E21" s="31" t="inlineStr">
        <is>
          <t>G3</t>
        </is>
      </c>
      <c r="F21" s="32" t="n">
        <v>44297</v>
      </c>
      <c r="G21" s="33" t="n">
        <v>3.9</v>
      </c>
      <c r="H21" s="33" t="n">
        <v>2.2</v>
      </c>
      <c r="I21" s="33" t="n">
        <v>2.5</v>
      </c>
      <c r="J21" s="33" t="n">
        <v>3.7</v>
      </c>
      <c r="K21" s="33" t="n">
        <v>2.6</v>
      </c>
      <c r="L21" s="33" t="n">
        <v>2.6</v>
      </c>
      <c r="M21" s="33" t="n">
        <v>3.2</v>
      </c>
      <c r="N21" s="33" t="n">
        <v>3.2</v>
      </c>
      <c r="O21" s="34">
        <f>IF($A21="","",ROUND((PARAMETER!$C$5-F21)/365.25,1))</f>
        <v/>
      </c>
      <c r="P21" s="35">
        <f>IF($A21="","",SUMPRODUCT(I21:N21,PARAMETER!$C$11:$H$11)/SUM(PARAMETER!$C$11:$H$11))</f>
        <v/>
      </c>
      <c r="Q21" s="35">
        <f>IF($A21="","",SUMPRODUCT((PARAMETER!$C$12:$H$12-I21:N21&gt;0)*(PARAMETER!$C$12:$H$12-I21:N21))/6)</f>
        <v/>
      </c>
      <c r="R21" s="26">
        <f>IF($A21="","",IF(G21&gt;=PARAMETER!$C$6,3,IF(G21&gt;=PARAMETER!$C$7,2,1)))</f>
        <v/>
      </c>
      <c r="S21" s="26">
        <f>IF($A21="","",IF(H21&gt;=PARAMETER!$C$6,3,IF(H21&gt;=PARAMETER!$C$7,2,1)))</f>
        <v/>
      </c>
      <c r="T21" s="26">
        <f>IF($A21="","",(R21-1)*3+S21)</f>
        <v/>
      </c>
      <c r="U21" s="36">
        <f>IF($A21="","",INDEX(PARAMETER!$C$15:$C$23,T21))</f>
        <v/>
      </c>
      <c r="V21" s="36">
        <f>IF($A21="","",INDEX(PARAMETER!$C$10:$H$10,MATCH(MIN(I21:N21),I21:N21,0)))</f>
        <v/>
      </c>
      <c r="W21" s="36">
        <f>IF($A21="","",INDEX(PARAMETER!$E$15:$E$23,T21))</f>
        <v/>
      </c>
    </row>
    <row r="22">
      <c r="A22" s="27" t="inlineStr">
        <is>
          <t>K-017</t>
        </is>
      </c>
      <c r="B22" s="27" t="inlineStr">
        <is>
          <t>Jihan Wijaya</t>
        </is>
      </c>
      <c r="C22" s="27" t="inlineStr">
        <is>
          <t>Operasional</t>
        </is>
      </c>
      <c r="D22" s="27" t="inlineStr">
        <is>
          <t>Senior Staf</t>
        </is>
      </c>
      <c r="E22" s="31" t="inlineStr">
        <is>
          <t>G4</t>
        </is>
      </c>
      <c r="F22" s="32" t="n">
        <v>44392</v>
      </c>
      <c r="G22" s="33" t="n">
        <v>4.4</v>
      </c>
      <c r="H22" s="33" t="n">
        <v>4.6</v>
      </c>
      <c r="I22" s="33" t="n">
        <v>4.4</v>
      </c>
      <c r="J22" s="33" t="n">
        <v>5</v>
      </c>
      <c r="K22" s="33" t="n">
        <v>4.5</v>
      </c>
      <c r="L22" s="33" t="n">
        <v>4.1</v>
      </c>
      <c r="M22" s="33" t="n">
        <v>4.7</v>
      </c>
      <c r="N22" s="33" t="n">
        <v>4.8</v>
      </c>
      <c r="O22" s="34">
        <f>IF($A22="","",ROUND((PARAMETER!$C$5-F22)/365.25,1))</f>
        <v/>
      </c>
      <c r="P22" s="35">
        <f>IF($A22="","",SUMPRODUCT(I22:N22,PARAMETER!$C$11:$H$11)/SUM(PARAMETER!$C$11:$H$11))</f>
        <v/>
      </c>
      <c r="Q22" s="35">
        <f>IF($A22="","",SUMPRODUCT((PARAMETER!$C$12:$H$12-I22:N22&gt;0)*(PARAMETER!$C$12:$H$12-I22:N22))/6)</f>
        <v/>
      </c>
      <c r="R22" s="26">
        <f>IF($A22="","",IF(G22&gt;=PARAMETER!$C$6,3,IF(G22&gt;=PARAMETER!$C$7,2,1)))</f>
        <v/>
      </c>
      <c r="S22" s="26">
        <f>IF($A22="","",IF(H22&gt;=PARAMETER!$C$6,3,IF(H22&gt;=PARAMETER!$C$7,2,1)))</f>
        <v/>
      </c>
      <c r="T22" s="26">
        <f>IF($A22="","",(R22-1)*3+S22)</f>
        <v/>
      </c>
      <c r="U22" s="36">
        <f>IF($A22="","",INDEX(PARAMETER!$C$15:$C$23,T22))</f>
        <v/>
      </c>
      <c r="V22" s="36">
        <f>IF($A22="","",INDEX(PARAMETER!$C$10:$H$10,MATCH(MIN(I22:N22),I22:N22,0)))</f>
        <v/>
      </c>
      <c r="W22" s="36">
        <f>IF($A22="","",INDEX(PARAMETER!$E$15:$E$23,T22))</f>
        <v/>
      </c>
    </row>
    <row r="23">
      <c r="A23" s="27" t="inlineStr">
        <is>
          <t>K-018</t>
        </is>
      </c>
      <c r="B23" s="27" t="inlineStr">
        <is>
          <t>Yusuf Maulana</t>
        </is>
      </c>
      <c r="C23" s="27" t="inlineStr">
        <is>
          <t>Pemasaran</t>
        </is>
      </c>
      <c r="D23" s="27" t="inlineStr">
        <is>
          <t>Staf</t>
        </is>
      </c>
      <c r="E23" s="31" t="inlineStr">
        <is>
          <t>G4</t>
        </is>
      </c>
      <c r="F23" s="32" t="n">
        <v>43917</v>
      </c>
      <c r="G23" s="33" t="n">
        <v>3.2</v>
      </c>
      <c r="H23" s="33" t="n">
        <v>2.6</v>
      </c>
      <c r="I23" s="33" t="n">
        <v>2.1</v>
      </c>
      <c r="J23" s="33" t="n">
        <v>3.4</v>
      </c>
      <c r="K23" s="33" t="n">
        <v>3.3</v>
      </c>
      <c r="L23" s="33" t="n">
        <v>2.5</v>
      </c>
      <c r="M23" s="33" t="n">
        <v>2.1</v>
      </c>
      <c r="N23" s="33" t="n">
        <v>2.3</v>
      </c>
      <c r="O23" s="34">
        <f>IF($A23="","",ROUND((PARAMETER!$C$5-F23)/365.25,1))</f>
        <v/>
      </c>
      <c r="P23" s="35">
        <f>IF($A23="","",SUMPRODUCT(I23:N23,PARAMETER!$C$11:$H$11)/SUM(PARAMETER!$C$11:$H$11))</f>
        <v/>
      </c>
      <c r="Q23" s="35">
        <f>IF($A23="","",SUMPRODUCT((PARAMETER!$C$12:$H$12-I23:N23&gt;0)*(PARAMETER!$C$12:$H$12-I23:N23))/6)</f>
        <v/>
      </c>
      <c r="R23" s="26">
        <f>IF($A23="","",IF(G23&gt;=PARAMETER!$C$6,3,IF(G23&gt;=PARAMETER!$C$7,2,1)))</f>
        <v/>
      </c>
      <c r="S23" s="26">
        <f>IF($A23="","",IF(H23&gt;=PARAMETER!$C$6,3,IF(H23&gt;=PARAMETER!$C$7,2,1)))</f>
        <v/>
      </c>
      <c r="T23" s="26">
        <f>IF($A23="","",(R23-1)*3+S23)</f>
        <v/>
      </c>
      <c r="U23" s="36">
        <f>IF($A23="","",INDEX(PARAMETER!$C$15:$C$23,T23))</f>
        <v/>
      </c>
      <c r="V23" s="36">
        <f>IF($A23="","",INDEX(PARAMETER!$C$10:$H$10,MATCH(MIN(I23:N23),I23:N23,0)))</f>
        <v/>
      </c>
      <c r="W23" s="36">
        <f>IF($A23="","",INDEX(PARAMETER!$E$15:$E$23,T23))</f>
        <v/>
      </c>
    </row>
    <row r="24">
      <c r="A24" s="27" t="inlineStr">
        <is>
          <t>K-019</t>
        </is>
      </c>
      <c r="B24" s="27" t="inlineStr">
        <is>
          <t>Zahra Permana</t>
        </is>
      </c>
      <c r="C24" s="27" t="inlineStr">
        <is>
          <t>SDM</t>
        </is>
      </c>
      <c r="D24" s="27" t="inlineStr">
        <is>
          <t>Spesialis</t>
        </is>
      </c>
      <c r="E24" s="31" t="inlineStr">
        <is>
          <t>G6</t>
        </is>
      </c>
      <c r="F24" s="32" t="n">
        <v>43399</v>
      </c>
      <c r="G24" s="33" t="n">
        <v>1.9</v>
      </c>
      <c r="H24" s="33" t="n">
        <v>2.6</v>
      </c>
      <c r="I24" s="33" t="n">
        <v>2.6</v>
      </c>
      <c r="J24" s="33" t="n">
        <v>3.4</v>
      </c>
      <c r="K24" s="33" t="n">
        <v>3</v>
      </c>
      <c r="L24" s="33" t="n">
        <v>3.1</v>
      </c>
      <c r="M24" s="33" t="n">
        <v>2.7</v>
      </c>
      <c r="N24" s="33" t="n">
        <v>3.1</v>
      </c>
      <c r="O24" s="34">
        <f>IF($A24="","",ROUND((PARAMETER!$C$5-F24)/365.25,1))</f>
        <v/>
      </c>
      <c r="P24" s="35">
        <f>IF($A24="","",SUMPRODUCT(I24:N24,PARAMETER!$C$11:$H$11)/SUM(PARAMETER!$C$11:$H$11))</f>
        <v/>
      </c>
      <c r="Q24" s="35">
        <f>IF($A24="","",SUMPRODUCT((PARAMETER!$C$12:$H$12-I24:N24&gt;0)*(PARAMETER!$C$12:$H$12-I24:N24))/6)</f>
        <v/>
      </c>
      <c r="R24" s="26">
        <f>IF($A24="","",IF(G24&gt;=PARAMETER!$C$6,3,IF(G24&gt;=PARAMETER!$C$7,2,1)))</f>
        <v/>
      </c>
      <c r="S24" s="26">
        <f>IF($A24="","",IF(H24&gt;=PARAMETER!$C$6,3,IF(H24&gt;=PARAMETER!$C$7,2,1)))</f>
        <v/>
      </c>
      <c r="T24" s="26">
        <f>IF($A24="","",(R24-1)*3+S24)</f>
        <v/>
      </c>
      <c r="U24" s="36">
        <f>IF($A24="","",INDEX(PARAMETER!$C$15:$C$23,T24))</f>
        <v/>
      </c>
      <c r="V24" s="36">
        <f>IF($A24="","",INDEX(PARAMETER!$C$10:$H$10,MATCH(MIN(I24:N24),I24:N24,0)))</f>
        <v/>
      </c>
      <c r="W24" s="36">
        <f>IF($A24="","",INDEX(PARAMETER!$E$15:$E$23,T24))</f>
        <v/>
      </c>
    </row>
    <row r="25">
      <c r="A25" s="27" t="inlineStr">
        <is>
          <t>K-020</t>
        </is>
      </c>
      <c r="B25" s="27" t="inlineStr">
        <is>
          <t>Qori Setiawan</t>
        </is>
      </c>
      <c r="C25" s="27" t="inlineStr">
        <is>
          <t>SDM</t>
        </is>
      </c>
      <c r="D25" s="27" t="inlineStr">
        <is>
          <t>Senior Staf</t>
        </is>
      </c>
      <c r="E25" s="31" t="inlineStr">
        <is>
          <t>G3</t>
        </is>
      </c>
      <c r="F25" s="32" t="n">
        <v>43352</v>
      </c>
      <c r="G25" s="33" t="n">
        <v>3.9</v>
      </c>
      <c r="H25" s="33" t="n">
        <v>2.9</v>
      </c>
      <c r="I25" s="33" t="n">
        <v>3.4</v>
      </c>
      <c r="J25" s="33" t="n">
        <v>4.1</v>
      </c>
      <c r="K25" s="33" t="n">
        <v>4</v>
      </c>
      <c r="L25" s="33" t="n">
        <v>3.4</v>
      </c>
      <c r="M25" s="33" t="n">
        <v>4.1</v>
      </c>
      <c r="N25" s="33" t="n">
        <v>4</v>
      </c>
      <c r="O25" s="34">
        <f>IF($A25="","",ROUND((PARAMETER!$C$5-F25)/365.25,1))</f>
        <v/>
      </c>
      <c r="P25" s="35">
        <f>IF($A25="","",SUMPRODUCT(I25:N25,PARAMETER!$C$11:$H$11)/SUM(PARAMETER!$C$11:$H$11))</f>
        <v/>
      </c>
      <c r="Q25" s="35">
        <f>IF($A25="","",SUMPRODUCT((PARAMETER!$C$12:$H$12-I25:N25&gt;0)*(PARAMETER!$C$12:$H$12-I25:N25))/6)</f>
        <v/>
      </c>
      <c r="R25" s="26">
        <f>IF($A25="","",IF(G25&gt;=PARAMETER!$C$6,3,IF(G25&gt;=PARAMETER!$C$7,2,1)))</f>
        <v/>
      </c>
      <c r="S25" s="26">
        <f>IF($A25="","",IF(H25&gt;=PARAMETER!$C$6,3,IF(H25&gt;=PARAMETER!$C$7,2,1)))</f>
        <v/>
      </c>
      <c r="T25" s="26">
        <f>IF($A25="","",(R25-1)*3+S25)</f>
        <v/>
      </c>
      <c r="U25" s="36">
        <f>IF($A25="","",INDEX(PARAMETER!$C$15:$C$23,T25))</f>
        <v/>
      </c>
      <c r="V25" s="36">
        <f>IF($A25="","",INDEX(PARAMETER!$C$10:$H$10,MATCH(MIN(I25:N25),I25:N25,0)))</f>
        <v/>
      </c>
      <c r="W25" s="36">
        <f>IF($A25="","",INDEX(PARAMETER!$E$15:$E$23,T25))</f>
        <v/>
      </c>
    </row>
    <row r="26">
      <c r="A26" s="27" t="inlineStr">
        <is>
          <t>K-021</t>
        </is>
      </c>
      <c r="B26" s="27" t="inlineStr">
        <is>
          <t>Lina Permana</t>
        </is>
      </c>
      <c r="C26" s="27" t="inlineStr">
        <is>
          <t>SDM</t>
        </is>
      </c>
      <c r="D26" s="27" t="inlineStr">
        <is>
          <t>Staf</t>
        </is>
      </c>
      <c r="E26" s="31" t="inlineStr">
        <is>
          <t>G4</t>
        </is>
      </c>
      <c r="F26" s="32" t="n">
        <v>45369</v>
      </c>
      <c r="G26" s="33" t="n">
        <v>3</v>
      </c>
      <c r="H26" s="33" t="n">
        <v>3.2</v>
      </c>
      <c r="I26" s="33" t="n">
        <v>2.5</v>
      </c>
      <c r="J26" s="33" t="n">
        <v>3.2</v>
      </c>
      <c r="K26" s="33" t="n">
        <v>3.1</v>
      </c>
      <c r="L26" s="33" t="n">
        <v>3.9</v>
      </c>
      <c r="M26" s="33" t="n">
        <v>3</v>
      </c>
      <c r="N26" s="33" t="n">
        <v>2.8</v>
      </c>
      <c r="O26" s="34">
        <f>IF($A26="","",ROUND((PARAMETER!$C$5-F26)/365.25,1))</f>
        <v/>
      </c>
      <c r="P26" s="35">
        <f>IF($A26="","",SUMPRODUCT(I26:N26,PARAMETER!$C$11:$H$11)/SUM(PARAMETER!$C$11:$H$11))</f>
        <v/>
      </c>
      <c r="Q26" s="35">
        <f>IF($A26="","",SUMPRODUCT((PARAMETER!$C$12:$H$12-I26:N26&gt;0)*(PARAMETER!$C$12:$H$12-I26:N26))/6)</f>
        <v/>
      </c>
      <c r="R26" s="26">
        <f>IF($A26="","",IF(G26&gt;=PARAMETER!$C$6,3,IF(G26&gt;=PARAMETER!$C$7,2,1)))</f>
        <v/>
      </c>
      <c r="S26" s="26">
        <f>IF($A26="","",IF(H26&gt;=PARAMETER!$C$6,3,IF(H26&gt;=PARAMETER!$C$7,2,1)))</f>
        <v/>
      </c>
      <c r="T26" s="26">
        <f>IF($A26="","",(R26-1)*3+S26)</f>
        <v/>
      </c>
      <c r="U26" s="36">
        <f>IF($A26="","",INDEX(PARAMETER!$C$15:$C$23,T26))</f>
        <v/>
      </c>
      <c r="V26" s="36">
        <f>IF($A26="","",INDEX(PARAMETER!$C$10:$H$10,MATCH(MIN(I26:N26),I26:N26,0)))</f>
        <v/>
      </c>
      <c r="W26" s="36">
        <f>IF($A26="","",INDEX(PARAMETER!$E$15:$E$23,T26))</f>
        <v/>
      </c>
    </row>
    <row r="27">
      <c r="A27" s="27" t="inlineStr">
        <is>
          <t>K-022</t>
        </is>
      </c>
      <c r="B27" s="27" t="inlineStr">
        <is>
          <t>Yusuf Kusuma</t>
        </is>
      </c>
      <c r="C27" s="27" t="inlineStr">
        <is>
          <t>Operasional</t>
        </is>
      </c>
      <c r="D27" s="27" t="inlineStr">
        <is>
          <t>Spesialis</t>
        </is>
      </c>
      <c r="E27" s="31" t="inlineStr">
        <is>
          <t>G4</t>
        </is>
      </c>
      <c r="F27" s="32" t="n">
        <v>43310</v>
      </c>
      <c r="G27" s="33" t="n">
        <v>3.3</v>
      </c>
      <c r="H27" s="33" t="n">
        <v>3.7</v>
      </c>
      <c r="I27" s="33" t="n">
        <v>4.2</v>
      </c>
      <c r="J27" s="33" t="n">
        <v>3.8</v>
      </c>
      <c r="K27" s="33" t="n">
        <v>3.7</v>
      </c>
      <c r="L27" s="33" t="n">
        <v>3.7</v>
      </c>
      <c r="M27" s="33" t="n">
        <v>4.4</v>
      </c>
      <c r="N27" s="33" t="n">
        <v>2.4</v>
      </c>
      <c r="O27" s="34">
        <f>IF($A27="","",ROUND((PARAMETER!$C$5-F27)/365.25,1))</f>
        <v/>
      </c>
      <c r="P27" s="35">
        <f>IF($A27="","",SUMPRODUCT(I27:N27,PARAMETER!$C$11:$H$11)/SUM(PARAMETER!$C$11:$H$11))</f>
        <v/>
      </c>
      <c r="Q27" s="35">
        <f>IF($A27="","",SUMPRODUCT((PARAMETER!$C$12:$H$12-I27:N27&gt;0)*(PARAMETER!$C$12:$H$12-I27:N27))/6)</f>
        <v/>
      </c>
      <c r="R27" s="26">
        <f>IF($A27="","",IF(G27&gt;=PARAMETER!$C$6,3,IF(G27&gt;=PARAMETER!$C$7,2,1)))</f>
        <v/>
      </c>
      <c r="S27" s="26">
        <f>IF($A27="","",IF(H27&gt;=PARAMETER!$C$6,3,IF(H27&gt;=PARAMETER!$C$7,2,1)))</f>
        <v/>
      </c>
      <c r="T27" s="26">
        <f>IF($A27="","",(R27-1)*3+S27)</f>
        <v/>
      </c>
      <c r="U27" s="36">
        <f>IF($A27="","",INDEX(PARAMETER!$C$15:$C$23,T27))</f>
        <v/>
      </c>
      <c r="V27" s="36">
        <f>IF($A27="","",INDEX(PARAMETER!$C$10:$H$10,MATCH(MIN(I27:N27),I27:N27,0)))</f>
        <v/>
      </c>
      <c r="W27" s="36">
        <f>IF($A27="","",INDEX(PARAMETER!$E$15:$E$23,T27))</f>
        <v/>
      </c>
    </row>
    <row r="28">
      <c r="A28" s="27" t="inlineStr">
        <is>
          <t>K-023</t>
        </is>
      </c>
      <c r="B28" s="27" t="inlineStr">
        <is>
          <t>Yusuf Saputra</t>
        </is>
      </c>
      <c r="C28" s="27" t="inlineStr">
        <is>
          <t>Keuangan</t>
        </is>
      </c>
      <c r="D28" s="27" t="inlineStr">
        <is>
          <t>Spesialis</t>
        </is>
      </c>
      <c r="E28" s="31" t="inlineStr">
        <is>
          <t>G6</t>
        </is>
      </c>
      <c r="F28" s="32" t="n">
        <v>43864</v>
      </c>
      <c r="G28" s="33" t="n">
        <v>3</v>
      </c>
      <c r="H28" s="33" t="n">
        <v>3.1</v>
      </c>
      <c r="I28" s="33" t="n">
        <v>2.9</v>
      </c>
      <c r="J28" s="33" t="n">
        <v>3.3</v>
      </c>
      <c r="K28" s="33" t="n">
        <v>4</v>
      </c>
      <c r="L28" s="33" t="n">
        <v>3.6</v>
      </c>
      <c r="M28" s="33" t="n">
        <v>3.5</v>
      </c>
      <c r="N28" s="33" t="n">
        <v>3.4</v>
      </c>
      <c r="O28" s="34">
        <f>IF($A28="","",ROUND((PARAMETER!$C$5-F28)/365.25,1))</f>
        <v/>
      </c>
      <c r="P28" s="35">
        <f>IF($A28="","",SUMPRODUCT(I28:N28,PARAMETER!$C$11:$H$11)/SUM(PARAMETER!$C$11:$H$11))</f>
        <v/>
      </c>
      <c r="Q28" s="35">
        <f>IF($A28="","",SUMPRODUCT((PARAMETER!$C$12:$H$12-I28:N28&gt;0)*(PARAMETER!$C$12:$H$12-I28:N28))/6)</f>
        <v/>
      </c>
      <c r="R28" s="26">
        <f>IF($A28="","",IF(G28&gt;=PARAMETER!$C$6,3,IF(G28&gt;=PARAMETER!$C$7,2,1)))</f>
        <v/>
      </c>
      <c r="S28" s="26">
        <f>IF($A28="","",IF(H28&gt;=PARAMETER!$C$6,3,IF(H28&gt;=PARAMETER!$C$7,2,1)))</f>
        <v/>
      </c>
      <c r="T28" s="26">
        <f>IF($A28="","",(R28-1)*3+S28)</f>
        <v/>
      </c>
      <c r="U28" s="36">
        <f>IF($A28="","",INDEX(PARAMETER!$C$15:$C$23,T28))</f>
        <v/>
      </c>
      <c r="V28" s="36">
        <f>IF($A28="","",INDEX(PARAMETER!$C$10:$H$10,MATCH(MIN(I28:N28),I28:N28,0)))</f>
        <v/>
      </c>
      <c r="W28" s="36">
        <f>IF($A28="","",INDEX(PARAMETER!$E$15:$E$23,T28))</f>
        <v/>
      </c>
    </row>
    <row r="29">
      <c r="A29" s="27" t="inlineStr">
        <is>
          <t>K-024</t>
        </is>
      </c>
      <c r="B29" s="27" t="inlineStr">
        <is>
          <t>Yusuf Hidayat</t>
        </is>
      </c>
      <c r="C29" s="27" t="inlineStr">
        <is>
          <t>Keuangan</t>
        </is>
      </c>
      <c r="D29" s="27" t="inlineStr">
        <is>
          <t>Supervisor</t>
        </is>
      </c>
      <c r="E29" s="31" t="inlineStr">
        <is>
          <t>G3</t>
        </is>
      </c>
      <c r="F29" s="32" t="n">
        <v>44731</v>
      </c>
      <c r="G29" s="33" t="n">
        <v>3.8</v>
      </c>
      <c r="H29" s="33" t="n">
        <v>2.9</v>
      </c>
      <c r="I29" s="33" t="n">
        <v>3.6</v>
      </c>
      <c r="J29" s="33" t="n">
        <v>2.6</v>
      </c>
      <c r="K29" s="33" t="n">
        <v>4.2</v>
      </c>
      <c r="L29" s="33" t="n">
        <v>2.3</v>
      </c>
      <c r="M29" s="33" t="n">
        <v>3</v>
      </c>
      <c r="N29" s="33" t="n">
        <v>2.7</v>
      </c>
      <c r="O29" s="34">
        <f>IF($A29="","",ROUND((PARAMETER!$C$5-F29)/365.25,1))</f>
        <v/>
      </c>
      <c r="P29" s="35">
        <f>IF($A29="","",SUMPRODUCT(I29:N29,PARAMETER!$C$11:$H$11)/SUM(PARAMETER!$C$11:$H$11))</f>
        <v/>
      </c>
      <c r="Q29" s="35">
        <f>IF($A29="","",SUMPRODUCT((PARAMETER!$C$12:$H$12-I29:N29&gt;0)*(PARAMETER!$C$12:$H$12-I29:N29))/6)</f>
        <v/>
      </c>
      <c r="R29" s="26">
        <f>IF($A29="","",IF(G29&gt;=PARAMETER!$C$6,3,IF(G29&gt;=PARAMETER!$C$7,2,1)))</f>
        <v/>
      </c>
      <c r="S29" s="26">
        <f>IF($A29="","",IF(H29&gt;=PARAMETER!$C$6,3,IF(H29&gt;=PARAMETER!$C$7,2,1)))</f>
        <v/>
      </c>
      <c r="T29" s="26">
        <f>IF($A29="","",(R29-1)*3+S29)</f>
        <v/>
      </c>
      <c r="U29" s="36">
        <f>IF($A29="","",INDEX(PARAMETER!$C$15:$C$23,T29))</f>
        <v/>
      </c>
      <c r="V29" s="36">
        <f>IF($A29="","",INDEX(PARAMETER!$C$10:$H$10,MATCH(MIN(I29:N29),I29:N29,0)))</f>
        <v/>
      </c>
      <c r="W29" s="36">
        <f>IF($A29="","",INDEX(PARAMETER!$E$15:$E$23,T29))</f>
        <v/>
      </c>
    </row>
    <row r="30">
      <c r="A30" s="27" t="inlineStr">
        <is>
          <t>K-025</t>
        </is>
      </c>
      <c r="B30" s="27" t="inlineStr">
        <is>
          <t>Dian Pratama</t>
        </is>
      </c>
      <c r="C30" s="27" t="inlineStr">
        <is>
          <t>Operasional</t>
        </is>
      </c>
      <c r="D30" s="27" t="inlineStr">
        <is>
          <t>Supervisor</t>
        </is>
      </c>
      <c r="E30" s="31" t="inlineStr">
        <is>
          <t>G6</t>
        </is>
      </c>
      <c r="F30" s="32" t="n">
        <v>44931</v>
      </c>
      <c r="G30" s="33" t="n">
        <v>4.2</v>
      </c>
      <c r="H30" s="33" t="n">
        <v>4.8</v>
      </c>
      <c r="I30" s="33" t="n">
        <v>4.4</v>
      </c>
      <c r="J30" s="33" t="n">
        <v>4.2</v>
      </c>
      <c r="K30" s="33" t="n">
        <v>4.3</v>
      </c>
      <c r="L30" s="33" t="n">
        <v>3.1</v>
      </c>
      <c r="M30" s="33" t="n">
        <v>4.5</v>
      </c>
      <c r="N30" s="33" t="n">
        <v>4.7</v>
      </c>
      <c r="O30" s="34">
        <f>IF($A30="","",ROUND((PARAMETER!$C$5-F30)/365.25,1))</f>
        <v/>
      </c>
      <c r="P30" s="35">
        <f>IF($A30="","",SUMPRODUCT(I30:N30,PARAMETER!$C$11:$H$11)/SUM(PARAMETER!$C$11:$H$11))</f>
        <v/>
      </c>
      <c r="Q30" s="35">
        <f>IF($A30="","",SUMPRODUCT((PARAMETER!$C$12:$H$12-I30:N30&gt;0)*(PARAMETER!$C$12:$H$12-I30:N30))/6)</f>
        <v/>
      </c>
      <c r="R30" s="26">
        <f>IF($A30="","",IF(G30&gt;=PARAMETER!$C$6,3,IF(G30&gt;=PARAMETER!$C$7,2,1)))</f>
        <v/>
      </c>
      <c r="S30" s="26">
        <f>IF($A30="","",IF(H30&gt;=PARAMETER!$C$6,3,IF(H30&gt;=PARAMETER!$C$7,2,1)))</f>
        <v/>
      </c>
      <c r="T30" s="26">
        <f>IF($A30="","",(R30-1)*3+S30)</f>
        <v/>
      </c>
      <c r="U30" s="36">
        <f>IF($A30="","",INDEX(PARAMETER!$C$15:$C$23,T30))</f>
        <v/>
      </c>
      <c r="V30" s="36">
        <f>IF($A30="","",INDEX(PARAMETER!$C$10:$H$10,MATCH(MIN(I30:N30),I30:N30,0)))</f>
        <v/>
      </c>
      <c r="W30" s="36">
        <f>IF($A30="","",INDEX(PARAMETER!$E$15:$E$23,T30))</f>
        <v/>
      </c>
    </row>
    <row r="31">
      <c r="A31" s="27" t="n"/>
      <c r="B31" s="27" t="n"/>
      <c r="C31" s="27" t="n"/>
      <c r="D31" s="27" t="n"/>
      <c r="E31" s="31" t="n"/>
      <c r="F31" s="32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4">
        <f>IF($A31="","",ROUND((PARAMETER!$C$5-F31)/365.25,1))</f>
        <v/>
      </c>
      <c r="P31" s="35">
        <f>IF($A31="","",SUMPRODUCT(I31:N31,PARAMETER!$C$11:$H$11)/SUM(PARAMETER!$C$11:$H$11))</f>
        <v/>
      </c>
      <c r="Q31" s="35">
        <f>IF($A31="","",SUMPRODUCT((PARAMETER!$C$12:$H$12-I31:N31&gt;0)*(PARAMETER!$C$12:$H$12-I31:N31))/6)</f>
        <v/>
      </c>
      <c r="R31" s="26">
        <f>IF($A31="","",IF(G31&gt;=PARAMETER!$C$6,3,IF(G31&gt;=PARAMETER!$C$7,2,1)))</f>
        <v/>
      </c>
      <c r="S31" s="26">
        <f>IF($A31="","",IF(H31&gt;=PARAMETER!$C$6,3,IF(H31&gt;=PARAMETER!$C$7,2,1)))</f>
        <v/>
      </c>
      <c r="T31" s="26">
        <f>IF($A31="","",(R31-1)*3+S31)</f>
        <v/>
      </c>
      <c r="U31" s="36">
        <f>IF($A31="","",INDEX(PARAMETER!$C$15:$C$23,T31))</f>
        <v/>
      </c>
      <c r="V31" s="36">
        <f>IF($A31="","",INDEX(PARAMETER!$C$10:$H$10,MATCH(MIN(I31:N31),I31:N31,0)))</f>
        <v/>
      </c>
      <c r="W31" s="36">
        <f>IF($A31="","",INDEX(PARAMETER!$E$15:$E$23,T31))</f>
        <v/>
      </c>
    </row>
    <row r="32">
      <c r="A32" s="27" t="n"/>
      <c r="B32" s="27" t="n"/>
      <c r="C32" s="27" t="n"/>
      <c r="D32" s="27" t="n"/>
      <c r="E32" s="31" t="n"/>
      <c r="F32" s="32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4">
        <f>IF($A32="","",ROUND((PARAMETER!$C$5-F32)/365.25,1))</f>
        <v/>
      </c>
      <c r="P32" s="35">
        <f>IF($A32="","",SUMPRODUCT(I32:N32,PARAMETER!$C$11:$H$11)/SUM(PARAMETER!$C$11:$H$11))</f>
        <v/>
      </c>
      <c r="Q32" s="35">
        <f>IF($A32="","",SUMPRODUCT((PARAMETER!$C$12:$H$12-I32:N32&gt;0)*(PARAMETER!$C$12:$H$12-I32:N32))/6)</f>
        <v/>
      </c>
      <c r="R32" s="26">
        <f>IF($A32="","",IF(G32&gt;=PARAMETER!$C$6,3,IF(G32&gt;=PARAMETER!$C$7,2,1)))</f>
        <v/>
      </c>
      <c r="S32" s="26">
        <f>IF($A32="","",IF(H32&gt;=PARAMETER!$C$6,3,IF(H32&gt;=PARAMETER!$C$7,2,1)))</f>
        <v/>
      </c>
      <c r="T32" s="26">
        <f>IF($A32="","",(R32-1)*3+S32)</f>
        <v/>
      </c>
      <c r="U32" s="36">
        <f>IF($A32="","",INDEX(PARAMETER!$C$15:$C$23,T32))</f>
        <v/>
      </c>
      <c r="V32" s="36">
        <f>IF($A32="","",INDEX(PARAMETER!$C$10:$H$10,MATCH(MIN(I32:N32),I32:N32,0)))</f>
        <v/>
      </c>
      <c r="W32" s="36">
        <f>IF($A32="","",INDEX(PARAMETER!$E$15:$E$23,T32))</f>
        <v/>
      </c>
    </row>
    <row r="33">
      <c r="A33" s="27" t="n"/>
      <c r="B33" s="27" t="n"/>
      <c r="C33" s="27" t="n"/>
      <c r="D33" s="27" t="n"/>
      <c r="E33" s="31" t="n"/>
      <c r="F33" s="32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4">
        <f>IF($A33="","",ROUND((PARAMETER!$C$5-F33)/365.25,1))</f>
        <v/>
      </c>
      <c r="P33" s="35">
        <f>IF($A33="","",SUMPRODUCT(I33:N33,PARAMETER!$C$11:$H$11)/SUM(PARAMETER!$C$11:$H$11))</f>
        <v/>
      </c>
      <c r="Q33" s="35">
        <f>IF($A33="","",SUMPRODUCT((PARAMETER!$C$12:$H$12-I33:N33&gt;0)*(PARAMETER!$C$12:$H$12-I33:N33))/6)</f>
        <v/>
      </c>
      <c r="R33" s="26">
        <f>IF($A33="","",IF(G33&gt;=PARAMETER!$C$6,3,IF(G33&gt;=PARAMETER!$C$7,2,1)))</f>
        <v/>
      </c>
      <c r="S33" s="26">
        <f>IF($A33="","",IF(H33&gt;=PARAMETER!$C$6,3,IF(H33&gt;=PARAMETER!$C$7,2,1)))</f>
        <v/>
      </c>
      <c r="T33" s="26">
        <f>IF($A33="","",(R33-1)*3+S33)</f>
        <v/>
      </c>
      <c r="U33" s="36">
        <f>IF($A33="","",INDEX(PARAMETER!$C$15:$C$23,T33))</f>
        <v/>
      </c>
      <c r="V33" s="36">
        <f>IF($A33="","",INDEX(PARAMETER!$C$10:$H$10,MATCH(MIN(I33:N33),I33:N33,0)))</f>
        <v/>
      </c>
      <c r="W33" s="36">
        <f>IF($A33="","",INDEX(PARAMETER!$E$15:$E$23,T33))</f>
        <v/>
      </c>
    </row>
    <row r="34">
      <c r="A34" s="27" t="n"/>
      <c r="B34" s="27" t="n"/>
      <c r="C34" s="27" t="n"/>
      <c r="D34" s="27" t="n"/>
      <c r="E34" s="31" t="n"/>
      <c r="F34" s="32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4">
        <f>IF($A34="","",ROUND((PARAMETER!$C$5-F34)/365.25,1))</f>
        <v/>
      </c>
      <c r="P34" s="35">
        <f>IF($A34="","",SUMPRODUCT(I34:N34,PARAMETER!$C$11:$H$11)/SUM(PARAMETER!$C$11:$H$11))</f>
        <v/>
      </c>
      <c r="Q34" s="35">
        <f>IF($A34="","",SUMPRODUCT((PARAMETER!$C$12:$H$12-I34:N34&gt;0)*(PARAMETER!$C$12:$H$12-I34:N34))/6)</f>
        <v/>
      </c>
      <c r="R34" s="26">
        <f>IF($A34="","",IF(G34&gt;=PARAMETER!$C$6,3,IF(G34&gt;=PARAMETER!$C$7,2,1)))</f>
        <v/>
      </c>
      <c r="S34" s="26">
        <f>IF($A34="","",IF(H34&gt;=PARAMETER!$C$6,3,IF(H34&gt;=PARAMETER!$C$7,2,1)))</f>
        <v/>
      </c>
      <c r="T34" s="26">
        <f>IF($A34="","",(R34-1)*3+S34)</f>
        <v/>
      </c>
      <c r="U34" s="36">
        <f>IF($A34="","",INDEX(PARAMETER!$C$15:$C$23,T34))</f>
        <v/>
      </c>
      <c r="V34" s="36">
        <f>IF($A34="","",INDEX(PARAMETER!$C$10:$H$10,MATCH(MIN(I34:N34),I34:N34,0)))</f>
        <v/>
      </c>
      <c r="W34" s="36">
        <f>IF($A34="","",INDEX(PARAMETER!$E$15:$E$23,T34))</f>
        <v/>
      </c>
    </row>
    <row r="35">
      <c r="A35" s="27" t="n"/>
      <c r="B35" s="27" t="n"/>
      <c r="C35" s="27" t="n"/>
      <c r="D35" s="27" t="n"/>
      <c r="E35" s="31" t="n"/>
      <c r="F35" s="32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4">
        <f>IF($A35="","",ROUND((PARAMETER!$C$5-F35)/365.25,1))</f>
        <v/>
      </c>
      <c r="P35" s="35">
        <f>IF($A35="","",SUMPRODUCT(I35:N35,PARAMETER!$C$11:$H$11)/SUM(PARAMETER!$C$11:$H$11))</f>
        <v/>
      </c>
      <c r="Q35" s="35">
        <f>IF($A35="","",SUMPRODUCT((PARAMETER!$C$12:$H$12-I35:N35&gt;0)*(PARAMETER!$C$12:$H$12-I35:N35))/6)</f>
        <v/>
      </c>
      <c r="R35" s="26">
        <f>IF($A35="","",IF(G35&gt;=PARAMETER!$C$6,3,IF(G35&gt;=PARAMETER!$C$7,2,1)))</f>
        <v/>
      </c>
      <c r="S35" s="26">
        <f>IF($A35="","",IF(H35&gt;=PARAMETER!$C$6,3,IF(H35&gt;=PARAMETER!$C$7,2,1)))</f>
        <v/>
      </c>
      <c r="T35" s="26">
        <f>IF($A35="","",(R35-1)*3+S35)</f>
        <v/>
      </c>
      <c r="U35" s="36">
        <f>IF($A35="","",INDEX(PARAMETER!$C$15:$C$23,T35))</f>
        <v/>
      </c>
      <c r="V35" s="36">
        <f>IF($A35="","",INDEX(PARAMETER!$C$10:$H$10,MATCH(MIN(I35:N35),I35:N35,0)))</f>
        <v/>
      </c>
      <c r="W35" s="36">
        <f>IF($A35="","",INDEX(PARAMETER!$E$15:$E$23,T35))</f>
        <v/>
      </c>
    </row>
    <row r="36">
      <c r="A36" s="27" t="n"/>
      <c r="B36" s="27" t="n"/>
      <c r="C36" s="27" t="n"/>
      <c r="D36" s="27" t="n"/>
      <c r="E36" s="31" t="n"/>
      <c r="F36" s="32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4">
        <f>IF($A36="","",ROUND((PARAMETER!$C$5-F36)/365.25,1))</f>
        <v/>
      </c>
      <c r="P36" s="35">
        <f>IF($A36="","",SUMPRODUCT(I36:N36,PARAMETER!$C$11:$H$11)/SUM(PARAMETER!$C$11:$H$11))</f>
        <v/>
      </c>
      <c r="Q36" s="35">
        <f>IF($A36="","",SUMPRODUCT((PARAMETER!$C$12:$H$12-I36:N36&gt;0)*(PARAMETER!$C$12:$H$12-I36:N36))/6)</f>
        <v/>
      </c>
      <c r="R36" s="26">
        <f>IF($A36="","",IF(G36&gt;=PARAMETER!$C$6,3,IF(G36&gt;=PARAMETER!$C$7,2,1)))</f>
        <v/>
      </c>
      <c r="S36" s="26">
        <f>IF($A36="","",IF(H36&gt;=PARAMETER!$C$6,3,IF(H36&gt;=PARAMETER!$C$7,2,1)))</f>
        <v/>
      </c>
      <c r="T36" s="26">
        <f>IF($A36="","",(R36-1)*3+S36)</f>
        <v/>
      </c>
      <c r="U36" s="36">
        <f>IF($A36="","",INDEX(PARAMETER!$C$15:$C$23,T36))</f>
        <v/>
      </c>
      <c r="V36" s="36">
        <f>IF($A36="","",INDEX(PARAMETER!$C$10:$H$10,MATCH(MIN(I36:N36),I36:N36,0)))</f>
        <v/>
      </c>
      <c r="W36" s="36">
        <f>IF($A36="","",INDEX(PARAMETER!$E$15:$E$23,T36))</f>
        <v/>
      </c>
    </row>
    <row r="37">
      <c r="A37" s="27" t="n"/>
      <c r="B37" s="27" t="n"/>
      <c r="C37" s="27" t="n"/>
      <c r="D37" s="27" t="n"/>
      <c r="E37" s="31" t="n"/>
      <c r="F37" s="32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4">
        <f>IF($A37="","",ROUND((PARAMETER!$C$5-F37)/365.25,1))</f>
        <v/>
      </c>
      <c r="P37" s="35">
        <f>IF($A37="","",SUMPRODUCT(I37:N37,PARAMETER!$C$11:$H$11)/SUM(PARAMETER!$C$11:$H$11))</f>
        <v/>
      </c>
      <c r="Q37" s="35">
        <f>IF($A37="","",SUMPRODUCT((PARAMETER!$C$12:$H$12-I37:N37&gt;0)*(PARAMETER!$C$12:$H$12-I37:N37))/6)</f>
        <v/>
      </c>
      <c r="R37" s="26">
        <f>IF($A37="","",IF(G37&gt;=PARAMETER!$C$6,3,IF(G37&gt;=PARAMETER!$C$7,2,1)))</f>
        <v/>
      </c>
      <c r="S37" s="26">
        <f>IF($A37="","",IF(H37&gt;=PARAMETER!$C$6,3,IF(H37&gt;=PARAMETER!$C$7,2,1)))</f>
        <v/>
      </c>
      <c r="T37" s="26">
        <f>IF($A37="","",(R37-1)*3+S37)</f>
        <v/>
      </c>
      <c r="U37" s="36">
        <f>IF($A37="","",INDEX(PARAMETER!$C$15:$C$23,T37))</f>
        <v/>
      </c>
      <c r="V37" s="36">
        <f>IF($A37="","",INDEX(PARAMETER!$C$10:$H$10,MATCH(MIN(I37:N37),I37:N37,0)))</f>
        <v/>
      </c>
      <c r="W37" s="36">
        <f>IF($A37="","",INDEX(PARAMETER!$E$15:$E$23,T37))</f>
        <v/>
      </c>
    </row>
    <row r="38">
      <c r="A38" s="27" t="n"/>
      <c r="B38" s="27" t="n"/>
      <c r="C38" s="27" t="n"/>
      <c r="D38" s="27" t="n"/>
      <c r="E38" s="31" t="n"/>
      <c r="F38" s="32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4">
        <f>IF($A38="","",ROUND((PARAMETER!$C$5-F38)/365.25,1))</f>
        <v/>
      </c>
      <c r="P38" s="35">
        <f>IF($A38="","",SUMPRODUCT(I38:N38,PARAMETER!$C$11:$H$11)/SUM(PARAMETER!$C$11:$H$11))</f>
        <v/>
      </c>
      <c r="Q38" s="35">
        <f>IF($A38="","",SUMPRODUCT((PARAMETER!$C$12:$H$12-I38:N38&gt;0)*(PARAMETER!$C$12:$H$12-I38:N38))/6)</f>
        <v/>
      </c>
      <c r="R38" s="26">
        <f>IF($A38="","",IF(G38&gt;=PARAMETER!$C$6,3,IF(G38&gt;=PARAMETER!$C$7,2,1)))</f>
        <v/>
      </c>
      <c r="S38" s="26">
        <f>IF($A38="","",IF(H38&gt;=PARAMETER!$C$6,3,IF(H38&gt;=PARAMETER!$C$7,2,1)))</f>
        <v/>
      </c>
      <c r="T38" s="26">
        <f>IF($A38="","",(R38-1)*3+S38)</f>
        <v/>
      </c>
      <c r="U38" s="36">
        <f>IF($A38="","",INDEX(PARAMETER!$C$15:$C$23,T38))</f>
        <v/>
      </c>
      <c r="V38" s="36">
        <f>IF($A38="","",INDEX(PARAMETER!$C$10:$H$10,MATCH(MIN(I38:N38),I38:N38,0)))</f>
        <v/>
      </c>
      <c r="W38" s="36">
        <f>IF($A38="","",INDEX(PARAMETER!$E$15:$E$23,T38))</f>
        <v/>
      </c>
    </row>
    <row r="39">
      <c r="A39" s="27" t="n"/>
      <c r="B39" s="27" t="n"/>
      <c r="C39" s="27" t="n"/>
      <c r="D39" s="27" t="n"/>
      <c r="E39" s="31" t="n"/>
      <c r="F39" s="32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4">
        <f>IF($A39="","",ROUND((PARAMETER!$C$5-F39)/365.25,1))</f>
        <v/>
      </c>
      <c r="P39" s="35">
        <f>IF($A39="","",SUMPRODUCT(I39:N39,PARAMETER!$C$11:$H$11)/SUM(PARAMETER!$C$11:$H$11))</f>
        <v/>
      </c>
      <c r="Q39" s="35">
        <f>IF($A39="","",SUMPRODUCT((PARAMETER!$C$12:$H$12-I39:N39&gt;0)*(PARAMETER!$C$12:$H$12-I39:N39))/6)</f>
        <v/>
      </c>
      <c r="R39" s="26">
        <f>IF($A39="","",IF(G39&gt;=PARAMETER!$C$6,3,IF(G39&gt;=PARAMETER!$C$7,2,1)))</f>
        <v/>
      </c>
      <c r="S39" s="26">
        <f>IF($A39="","",IF(H39&gt;=PARAMETER!$C$6,3,IF(H39&gt;=PARAMETER!$C$7,2,1)))</f>
        <v/>
      </c>
      <c r="T39" s="26">
        <f>IF($A39="","",(R39-1)*3+S39)</f>
        <v/>
      </c>
      <c r="U39" s="36">
        <f>IF($A39="","",INDEX(PARAMETER!$C$15:$C$23,T39))</f>
        <v/>
      </c>
      <c r="V39" s="36">
        <f>IF($A39="","",INDEX(PARAMETER!$C$10:$H$10,MATCH(MIN(I39:N39),I39:N39,0)))</f>
        <v/>
      </c>
      <c r="W39" s="36">
        <f>IF($A39="","",INDEX(PARAMETER!$E$15:$E$23,T39))</f>
        <v/>
      </c>
    </row>
    <row r="40">
      <c r="A40" s="27" t="n"/>
      <c r="B40" s="27" t="n"/>
      <c r="C40" s="27" t="n"/>
      <c r="D40" s="27" t="n"/>
      <c r="E40" s="31" t="n"/>
      <c r="F40" s="32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4">
        <f>IF($A40="","",ROUND((PARAMETER!$C$5-F40)/365.25,1))</f>
        <v/>
      </c>
      <c r="P40" s="35">
        <f>IF($A40="","",SUMPRODUCT(I40:N40,PARAMETER!$C$11:$H$11)/SUM(PARAMETER!$C$11:$H$11))</f>
        <v/>
      </c>
      <c r="Q40" s="35">
        <f>IF($A40="","",SUMPRODUCT((PARAMETER!$C$12:$H$12-I40:N40&gt;0)*(PARAMETER!$C$12:$H$12-I40:N40))/6)</f>
        <v/>
      </c>
      <c r="R40" s="26">
        <f>IF($A40="","",IF(G40&gt;=PARAMETER!$C$6,3,IF(G40&gt;=PARAMETER!$C$7,2,1)))</f>
        <v/>
      </c>
      <c r="S40" s="26">
        <f>IF($A40="","",IF(H40&gt;=PARAMETER!$C$6,3,IF(H40&gt;=PARAMETER!$C$7,2,1)))</f>
        <v/>
      </c>
      <c r="T40" s="26">
        <f>IF($A40="","",(R40-1)*3+S40)</f>
        <v/>
      </c>
      <c r="U40" s="36">
        <f>IF($A40="","",INDEX(PARAMETER!$C$15:$C$23,T40))</f>
        <v/>
      </c>
      <c r="V40" s="36">
        <f>IF($A40="","",INDEX(PARAMETER!$C$10:$H$10,MATCH(MIN(I40:N40),I40:N40,0)))</f>
        <v/>
      </c>
      <c r="W40" s="36">
        <f>IF($A40="","",INDEX(PARAMETER!$E$15:$E$23,T40))</f>
        <v/>
      </c>
    </row>
    <row r="41">
      <c r="A41" s="27" t="n"/>
      <c r="B41" s="27" t="n"/>
      <c r="C41" s="27" t="n"/>
      <c r="D41" s="27" t="n"/>
      <c r="E41" s="31" t="n"/>
      <c r="F41" s="32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4">
        <f>IF($A41="","",ROUND((PARAMETER!$C$5-F41)/365.25,1))</f>
        <v/>
      </c>
      <c r="P41" s="35">
        <f>IF($A41="","",SUMPRODUCT(I41:N41,PARAMETER!$C$11:$H$11)/SUM(PARAMETER!$C$11:$H$11))</f>
        <v/>
      </c>
      <c r="Q41" s="35">
        <f>IF($A41="","",SUMPRODUCT((PARAMETER!$C$12:$H$12-I41:N41&gt;0)*(PARAMETER!$C$12:$H$12-I41:N41))/6)</f>
        <v/>
      </c>
      <c r="R41" s="26">
        <f>IF($A41="","",IF(G41&gt;=PARAMETER!$C$6,3,IF(G41&gt;=PARAMETER!$C$7,2,1)))</f>
        <v/>
      </c>
      <c r="S41" s="26">
        <f>IF($A41="","",IF(H41&gt;=PARAMETER!$C$6,3,IF(H41&gt;=PARAMETER!$C$7,2,1)))</f>
        <v/>
      </c>
      <c r="T41" s="26">
        <f>IF($A41="","",(R41-1)*3+S41)</f>
        <v/>
      </c>
      <c r="U41" s="36">
        <f>IF($A41="","",INDEX(PARAMETER!$C$15:$C$23,T41))</f>
        <v/>
      </c>
      <c r="V41" s="36">
        <f>IF($A41="","",INDEX(PARAMETER!$C$10:$H$10,MATCH(MIN(I41:N41),I41:N41,0)))</f>
        <v/>
      </c>
      <c r="W41" s="36">
        <f>IF($A41="","",INDEX(PARAMETER!$E$15:$E$23,T41))</f>
        <v/>
      </c>
    </row>
    <row r="42">
      <c r="A42" s="27" t="n"/>
      <c r="B42" s="27" t="n"/>
      <c r="C42" s="27" t="n"/>
      <c r="D42" s="27" t="n"/>
      <c r="E42" s="31" t="n"/>
      <c r="F42" s="32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4">
        <f>IF($A42="","",ROUND((PARAMETER!$C$5-F42)/365.25,1))</f>
        <v/>
      </c>
      <c r="P42" s="35">
        <f>IF($A42="","",SUMPRODUCT(I42:N42,PARAMETER!$C$11:$H$11)/SUM(PARAMETER!$C$11:$H$11))</f>
        <v/>
      </c>
      <c r="Q42" s="35">
        <f>IF($A42="","",SUMPRODUCT((PARAMETER!$C$12:$H$12-I42:N42&gt;0)*(PARAMETER!$C$12:$H$12-I42:N42))/6)</f>
        <v/>
      </c>
      <c r="R42" s="26">
        <f>IF($A42="","",IF(G42&gt;=PARAMETER!$C$6,3,IF(G42&gt;=PARAMETER!$C$7,2,1)))</f>
        <v/>
      </c>
      <c r="S42" s="26">
        <f>IF($A42="","",IF(H42&gt;=PARAMETER!$C$6,3,IF(H42&gt;=PARAMETER!$C$7,2,1)))</f>
        <v/>
      </c>
      <c r="T42" s="26">
        <f>IF($A42="","",(R42-1)*3+S42)</f>
        <v/>
      </c>
      <c r="U42" s="36">
        <f>IF($A42="","",INDEX(PARAMETER!$C$15:$C$23,T42))</f>
        <v/>
      </c>
      <c r="V42" s="36">
        <f>IF($A42="","",INDEX(PARAMETER!$C$10:$H$10,MATCH(MIN(I42:N42),I42:N42,0)))</f>
        <v/>
      </c>
      <c r="W42" s="36">
        <f>IF($A42="","",INDEX(PARAMETER!$E$15:$E$23,T42))</f>
        <v/>
      </c>
    </row>
    <row r="43">
      <c r="A43" s="27" t="n"/>
      <c r="B43" s="27" t="n"/>
      <c r="C43" s="27" t="n"/>
      <c r="D43" s="27" t="n"/>
      <c r="E43" s="31" t="n"/>
      <c r="F43" s="32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4">
        <f>IF($A43="","",ROUND((PARAMETER!$C$5-F43)/365.25,1))</f>
        <v/>
      </c>
      <c r="P43" s="35">
        <f>IF($A43="","",SUMPRODUCT(I43:N43,PARAMETER!$C$11:$H$11)/SUM(PARAMETER!$C$11:$H$11))</f>
        <v/>
      </c>
      <c r="Q43" s="35">
        <f>IF($A43="","",SUMPRODUCT((PARAMETER!$C$12:$H$12-I43:N43&gt;0)*(PARAMETER!$C$12:$H$12-I43:N43))/6)</f>
        <v/>
      </c>
      <c r="R43" s="26">
        <f>IF($A43="","",IF(G43&gt;=PARAMETER!$C$6,3,IF(G43&gt;=PARAMETER!$C$7,2,1)))</f>
        <v/>
      </c>
      <c r="S43" s="26">
        <f>IF($A43="","",IF(H43&gt;=PARAMETER!$C$6,3,IF(H43&gt;=PARAMETER!$C$7,2,1)))</f>
        <v/>
      </c>
      <c r="T43" s="26">
        <f>IF($A43="","",(R43-1)*3+S43)</f>
        <v/>
      </c>
      <c r="U43" s="36">
        <f>IF($A43="","",INDEX(PARAMETER!$C$15:$C$23,T43))</f>
        <v/>
      </c>
      <c r="V43" s="36">
        <f>IF($A43="","",INDEX(PARAMETER!$C$10:$H$10,MATCH(MIN(I43:N43),I43:N43,0)))</f>
        <v/>
      </c>
      <c r="W43" s="36">
        <f>IF($A43="","",INDEX(PARAMETER!$E$15:$E$23,T43))</f>
        <v/>
      </c>
    </row>
    <row r="44">
      <c r="A44" s="27" t="n"/>
      <c r="B44" s="27" t="n"/>
      <c r="C44" s="27" t="n"/>
      <c r="D44" s="27" t="n"/>
      <c r="E44" s="31" t="n"/>
      <c r="F44" s="32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4">
        <f>IF($A44="","",ROUND((PARAMETER!$C$5-F44)/365.25,1))</f>
        <v/>
      </c>
      <c r="P44" s="35">
        <f>IF($A44="","",SUMPRODUCT(I44:N44,PARAMETER!$C$11:$H$11)/SUM(PARAMETER!$C$11:$H$11))</f>
        <v/>
      </c>
      <c r="Q44" s="35">
        <f>IF($A44="","",SUMPRODUCT((PARAMETER!$C$12:$H$12-I44:N44&gt;0)*(PARAMETER!$C$12:$H$12-I44:N44))/6)</f>
        <v/>
      </c>
      <c r="R44" s="26">
        <f>IF($A44="","",IF(G44&gt;=PARAMETER!$C$6,3,IF(G44&gt;=PARAMETER!$C$7,2,1)))</f>
        <v/>
      </c>
      <c r="S44" s="26">
        <f>IF($A44="","",IF(H44&gt;=PARAMETER!$C$6,3,IF(H44&gt;=PARAMETER!$C$7,2,1)))</f>
        <v/>
      </c>
      <c r="T44" s="26">
        <f>IF($A44="","",(R44-1)*3+S44)</f>
        <v/>
      </c>
      <c r="U44" s="36">
        <f>IF($A44="","",INDEX(PARAMETER!$C$15:$C$23,T44))</f>
        <v/>
      </c>
      <c r="V44" s="36">
        <f>IF($A44="","",INDEX(PARAMETER!$C$10:$H$10,MATCH(MIN(I44:N44),I44:N44,0)))</f>
        <v/>
      </c>
      <c r="W44" s="36">
        <f>IF($A44="","",INDEX(PARAMETER!$E$15:$E$23,T44))</f>
        <v/>
      </c>
    </row>
    <row r="45">
      <c r="A45" s="27" t="n"/>
      <c r="B45" s="27" t="n"/>
      <c r="C45" s="27" t="n"/>
      <c r="D45" s="27" t="n"/>
      <c r="E45" s="31" t="n"/>
      <c r="F45" s="32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4">
        <f>IF($A45="","",ROUND((PARAMETER!$C$5-F45)/365.25,1))</f>
        <v/>
      </c>
      <c r="P45" s="35">
        <f>IF($A45="","",SUMPRODUCT(I45:N45,PARAMETER!$C$11:$H$11)/SUM(PARAMETER!$C$11:$H$11))</f>
        <v/>
      </c>
      <c r="Q45" s="35">
        <f>IF($A45="","",SUMPRODUCT((PARAMETER!$C$12:$H$12-I45:N45&gt;0)*(PARAMETER!$C$12:$H$12-I45:N45))/6)</f>
        <v/>
      </c>
      <c r="R45" s="26">
        <f>IF($A45="","",IF(G45&gt;=PARAMETER!$C$6,3,IF(G45&gt;=PARAMETER!$C$7,2,1)))</f>
        <v/>
      </c>
      <c r="S45" s="26">
        <f>IF($A45="","",IF(H45&gt;=PARAMETER!$C$6,3,IF(H45&gt;=PARAMETER!$C$7,2,1)))</f>
        <v/>
      </c>
      <c r="T45" s="26">
        <f>IF($A45="","",(R45-1)*3+S45)</f>
        <v/>
      </c>
      <c r="U45" s="36">
        <f>IF($A45="","",INDEX(PARAMETER!$C$15:$C$23,T45))</f>
        <v/>
      </c>
      <c r="V45" s="36">
        <f>IF($A45="","",INDEX(PARAMETER!$C$10:$H$10,MATCH(MIN(I45:N45),I45:N45,0)))</f>
        <v/>
      </c>
      <c r="W45" s="36">
        <f>IF($A45="","",INDEX(PARAMETER!$E$15:$E$23,T45))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W45"/>
  <mergeCells count="1">
    <mergeCell ref="A3:X3"/>
  </mergeCells>
  <conditionalFormatting sqref="U6:U45">
    <cfRule type="expression" priority="1" dxfId="0">
      <formula>$T6=9</formula>
    </cfRule>
    <cfRule type="expression" priority="2" dxfId="1">
      <formula>$T6=1</formula>
    </cfRule>
  </conditionalFormatting>
  <conditionalFormatting sqref="G6:N45">
    <cfRule type="cellIs" priority="3" operator="lessThan" dxfId="2">
      <formula>PARAMETER!$C$7</formula>
    </cfRule>
  </conditionalFormatting>
  <dataValidations count="2">
    <dataValidation sqref="C6:C45" showDropDown="0" showInputMessage="0" showErrorMessage="0" allowBlank="1" type="list">
      <formula1>=PARAMETER!$B$28:$B$35</formula1>
    </dataValidation>
    <dataValidation sqref="G6:N45" showDropDown="0" showInputMessage="0" showErrorMessage="1" allowBlank="1" error="Isi angka antara 1 dan 5" type="decimal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4" customWidth="1" min="4" max="4"/>
    <col width="40" customWidth="1" min="5" max="5"/>
  </cols>
  <sheetData>
    <row r="1" ht="24" customHeight="1">
      <c r="A1" s="13" t="inlineStr">
        <is>
          <t>Ringkasan Talent Review</t>
        </is>
      </c>
    </row>
    <row r="2">
      <c r="A2" s="14">
        <f>"Per tanggal "&amp;TEXT(PARAMETER!C5,"dd-mmm-yyyy")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24" customHeight="1">
      <c r="A5" s="23" t="inlineStr">
        <is>
          <t>Kotak</t>
        </is>
      </c>
      <c r="B5" s="23" t="inlineStr">
        <is>
          <t>Nama kotak</t>
        </is>
      </c>
      <c r="C5" s="23" t="inlineStr">
        <is>
          <t>Jumlah</t>
        </is>
      </c>
      <c r="D5" s="23" t="inlineStr">
        <is>
          <t>% Karyawan</t>
        </is>
      </c>
      <c r="E5" s="23" t="inlineStr">
        <is>
          <t>Tindakan</t>
        </is>
      </c>
    </row>
    <row r="6" ht="28" customHeight="1">
      <c r="A6" s="26" t="n">
        <v>1</v>
      </c>
      <c r="B6" s="36">
        <f>PARAMETER!C15</f>
        <v/>
      </c>
      <c r="C6" s="26">
        <f>COUNTIFS(KARYAWAN!$T$6:$T$45,A6)</f>
        <v/>
      </c>
      <c r="D6" s="37">
        <f>IF($C$15=0,0,C6/$C$15)</f>
        <v/>
      </c>
      <c r="E6" s="38">
        <f>PARAMETER!E15</f>
        <v/>
      </c>
    </row>
    <row r="7" ht="28" customHeight="1">
      <c r="A7" s="26" t="n">
        <v>2</v>
      </c>
      <c r="B7" s="36">
        <f>PARAMETER!C16</f>
        <v/>
      </c>
      <c r="C7" s="26">
        <f>COUNTIFS(KARYAWAN!$T$6:$T$45,A7)</f>
        <v/>
      </c>
      <c r="D7" s="37">
        <f>IF($C$15=0,0,C7/$C$15)</f>
        <v/>
      </c>
      <c r="E7" s="38">
        <f>PARAMETER!E16</f>
        <v/>
      </c>
    </row>
    <row r="8" ht="28" customHeight="1">
      <c r="A8" s="26" t="n">
        <v>3</v>
      </c>
      <c r="B8" s="36">
        <f>PARAMETER!C17</f>
        <v/>
      </c>
      <c r="C8" s="26">
        <f>COUNTIFS(KARYAWAN!$T$6:$T$45,A8)</f>
        <v/>
      </c>
      <c r="D8" s="37">
        <f>IF($C$15=0,0,C8/$C$15)</f>
        <v/>
      </c>
      <c r="E8" s="38">
        <f>PARAMETER!E17</f>
        <v/>
      </c>
    </row>
    <row r="9" ht="28" customHeight="1">
      <c r="A9" s="26" t="n">
        <v>4</v>
      </c>
      <c r="B9" s="36">
        <f>PARAMETER!C18</f>
        <v/>
      </c>
      <c r="C9" s="26">
        <f>COUNTIFS(KARYAWAN!$T$6:$T$45,A9)</f>
        <v/>
      </c>
      <c r="D9" s="37">
        <f>IF($C$15=0,0,C9/$C$15)</f>
        <v/>
      </c>
      <c r="E9" s="38">
        <f>PARAMETER!E18</f>
        <v/>
      </c>
    </row>
    <row r="10" ht="28" customHeight="1">
      <c r="A10" s="26" t="n">
        <v>5</v>
      </c>
      <c r="B10" s="36">
        <f>PARAMETER!C19</f>
        <v/>
      </c>
      <c r="C10" s="26">
        <f>COUNTIFS(KARYAWAN!$T$6:$T$45,A10)</f>
        <v/>
      </c>
      <c r="D10" s="37">
        <f>IF($C$15=0,0,C10/$C$15)</f>
        <v/>
      </c>
      <c r="E10" s="38">
        <f>PARAMETER!E19</f>
        <v/>
      </c>
    </row>
    <row r="11" ht="28" customHeight="1">
      <c r="A11" s="26" t="n">
        <v>6</v>
      </c>
      <c r="B11" s="36">
        <f>PARAMETER!C20</f>
        <v/>
      </c>
      <c r="C11" s="26">
        <f>COUNTIFS(KARYAWAN!$T$6:$T$45,A11)</f>
        <v/>
      </c>
      <c r="D11" s="37">
        <f>IF($C$15=0,0,C11/$C$15)</f>
        <v/>
      </c>
      <c r="E11" s="38">
        <f>PARAMETER!E20</f>
        <v/>
      </c>
    </row>
    <row r="12" ht="28" customHeight="1">
      <c r="A12" s="26" t="n">
        <v>7</v>
      </c>
      <c r="B12" s="36">
        <f>PARAMETER!C21</f>
        <v/>
      </c>
      <c r="C12" s="26">
        <f>COUNTIFS(KARYAWAN!$T$6:$T$45,A12)</f>
        <v/>
      </c>
      <c r="D12" s="37">
        <f>IF($C$15=0,0,C12/$C$15)</f>
        <v/>
      </c>
      <c r="E12" s="38">
        <f>PARAMETER!E21</f>
        <v/>
      </c>
    </row>
    <row r="13" ht="28" customHeight="1">
      <c r="A13" s="26" t="n">
        <v>8</v>
      </c>
      <c r="B13" s="36">
        <f>PARAMETER!C22</f>
        <v/>
      </c>
      <c r="C13" s="26">
        <f>COUNTIFS(KARYAWAN!$T$6:$T$45,A13)</f>
        <v/>
      </c>
      <c r="D13" s="37">
        <f>IF($C$15=0,0,C13/$C$15)</f>
        <v/>
      </c>
      <c r="E13" s="38">
        <f>PARAMETER!E22</f>
        <v/>
      </c>
    </row>
    <row r="14" ht="28" customHeight="1">
      <c r="A14" s="26" t="n">
        <v>9</v>
      </c>
      <c r="B14" s="36">
        <f>PARAMETER!C23</f>
        <v/>
      </c>
      <c r="C14" s="26">
        <f>COUNTIFS(KARYAWAN!$T$6:$T$45,A14)</f>
        <v/>
      </c>
      <c r="D14" s="37">
        <f>IF($C$15=0,0,C14/$C$15)</f>
        <v/>
      </c>
      <c r="E14" s="38">
        <f>PARAMETER!E23</f>
        <v/>
      </c>
    </row>
    <row r="15">
      <c r="A15" s="39" t="n"/>
      <c r="B15" s="20" t="inlineStr">
        <is>
          <t>TOTAL</t>
        </is>
      </c>
      <c r="C15" s="40">
        <f>SUM(C6:C14)</f>
        <v/>
      </c>
      <c r="D15" s="41">
        <f>SUM(D6:D14)</f>
        <v/>
      </c>
      <c r="E15" s="39" t="n"/>
    </row>
    <row r="17">
      <c r="A17" s="6" t="inlineStr">
        <is>
          <t>INDIKATOR UTAMA</t>
        </is>
      </c>
      <c r="B17" s="7" t="n"/>
      <c r="C17" s="7" t="n"/>
      <c r="D17" s="7" t="n"/>
      <c r="E17" s="7" t="n"/>
    </row>
    <row r="18">
      <c r="A18" s="16" t="inlineStr">
        <is>
          <t>Jumlah karyawan</t>
        </is>
      </c>
      <c r="B18" s="24" t="n"/>
      <c r="C18" s="25" t="n"/>
      <c r="D18" s="42">
        <f>C15</f>
        <v/>
      </c>
    </row>
    <row r="19">
      <c r="A19" s="16" t="inlineStr">
        <is>
          <t>Rata-rata kinerja</t>
        </is>
      </c>
      <c r="B19" s="24" t="n"/>
      <c r="C19" s="25" t="n"/>
      <c r="D19" s="43">
        <f>IFERROR(AVERAGE(KARYAWAN!$G$6:$G$45),0)</f>
        <v/>
      </c>
    </row>
    <row r="20">
      <c r="A20" s="16" t="inlineStr">
        <is>
          <t>Rata-rata potensi</t>
        </is>
      </c>
      <c r="B20" s="24" t="n"/>
      <c r="C20" s="25" t="n"/>
      <c r="D20" s="43">
        <f>IFERROR(AVERAGE(KARYAWAN!$H$6:$H$45),0)</f>
        <v/>
      </c>
    </row>
    <row r="21">
      <c r="A21" s="16" t="inlineStr">
        <is>
          <t>Rata-rata skor kompetensi</t>
        </is>
      </c>
      <c r="B21" s="24" t="n"/>
      <c r="C21" s="25" t="n"/>
      <c r="D21" s="43">
        <f>IFERROR(AVERAGE(KARYAWAN!$P$6:$P$45),0)</f>
        <v/>
      </c>
    </row>
    <row r="22">
      <c r="A22" s="16" t="inlineStr">
        <is>
          <t>Potensi tinggi (% karyawan)</t>
        </is>
      </c>
      <c r="B22" s="24" t="n"/>
      <c r="C22" s="25" t="n"/>
      <c r="D22" s="44">
        <f>IF(C15=0,0,COUNTIFS(KARYAWAN!$S$6:$S$45,3)/C15)</f>
        <v/>
      </c>
    </row>
    <row r="23">
      <c r="A23" s="16" t="inlineStr">
        <is>
          <t>Talenta kunci: Bintang + Calon Bintang + Kinerja Tinggi</t>
        </is>
      </c>
      <c r="B23" s="24" t="n"/>
      <c r="C23" s="25" t="n"/>
      <c r="D23" s="42">
        <f>C14+C11+C13</f>
        <v/>
      </c>
    </row>
    <row r="24">
      <c r="A24" s="16" t="inlineStr">
        <is>
          <t>Perlu perhatian: Risiko + Perlu Perbaikan</t>
        </is>
      </c>
      <c r="B24" s="24" t="n"/>
      <c r="C24" s="25" t="n"/>
      <c r="D24" s="42">
        <f>C6+C7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A19:C19"/>
    <mergeCell ref="A23:C23"/>
    <mergeCell ref="A22:C22"/>
    <mergeCell ref="A18:C18"/>
    <mergeCell ref="A21:C21"/>
    <mergeCell ref="A20:C20"/>
    <mergeCell ref="A24:C24"/>
    <mergeCell ref="A3:E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Talent Review 9-Box &amp; Kompetensi (Demo)</dc:title>
  <dc:subject xmlns:dc="http://purl.org/dc/elements/1.1/">Lisensi: demo</dc:subject>
  <dcterms:created xmlns:dcterms="http://purl.org/dc/terms/" xmlns:xsi="http://www.w3.org/2001/XMLSchema-instance" xsi:type="dcterms:W3CDTF">2026-10-29T09:42:46Z</dcterms:created>
  <dcterms:modified xmlns:dcterms="http://purl.org/dc/terms/" xmlns:xsi="http://www.w3.org/2001/XMLSchema-instance" xsi:type="dcterms:W3CDTF">2026-10-29T09:42:46Z</dcterms:modified>
</cp:coreProperties>
</file>