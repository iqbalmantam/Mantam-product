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COA" sheetId="3" state="visible" r:id="rId3"/>
    <sheet xmlns:r="http://schemas.openxmlformats.org/officeDocument/2006/relationships" name="JURNAL" sheetId="4" state="visible" r:id="rId4"/>
    <sheet xmlns:r="http://schemas.openxmlformats.org/officeDocument/2006/relationships" name="NERACA_SALDO" sheetId="5" state="visible" r:id="rId5"/>
    <sheet xmlns:r="http://schemas.openxmlformats.org/officeDocument/2006/relationships" name="LABA_RUGI" sheetId="6" state="visible" r:id="rId6"/>
    <sheet xmlns:r="http://schemas.openxmlformats.org/officeDocument/2006/relationships" name="NERACA" sheetId="7" state="visible" r:id="rId7"/>
    <sheet xmlns:r="http://schemas.openxmlformats.org/officeDocument/2006/relationships" name="FULL-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yy"/>
    <numFmt numFmtId="166" formatCode="0.0%"/>
    <numFmt numFmtId="167" formatCode="#,##0;(#,##0);&quot;-&quot;"/>
    <numFmt numFmtId="168" formatCode="0.0%;(0.0%);&quot;-&quot;"/>
  </numFmts>
  <fonts count="18">
    <font>
      <name val="Calibri"/>
      <family val="2"/>
      <color theme="1"/>
      <sz val="11"/>
      <scheme val="minor"/>
    </font>
    <font>
      <name val="Arial"/>
      <b val="1"/>
      <color rgb="000EA5A4"/>
      <sz val="11"/>
    </font>
    <font>
      <name val="Arial"/>
      <b val="1"/>
      <color rgb="000B1A30"/>
      <sz val="18"/>
    </font>
    <font>
      <name val="Arial"/>
      <color rgb="0033445C"/>
      <sz val="10"/>
    </font>
    <font>
      <name val="Arial"/>
      <b val="1"/>
      <color rgb="000B1A30"/>
      <sz val="10"/>
    </font>
    <font>
      <name val="Arial"/>
      <b val="1"/>
      <color rgb="00B9770E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B1A30"/>
      <sz val="16"/>
    </font>
    <font>
      <name val="Arial"/>
      <i val="1"/>
      <color rgb="005B6B82"/>
      <sz val="10"/>
    </font>
    <font>
      <name val="Arial"/>
      <b val="1"/>
      <color rgb="00B9770E"/>
      <sz val="9"/>
    </font>
    <font>
      <name val="Arial"/>
      <i val="1"/>
      <color rgb="00000000"/>
      <sz val="10"/>
    </font>
    <font>
      <name val="Arial"/>
      <b val="1"/>
      <color rgb="00C0392B"/>
      <sz val="11"/>
    </font>
    <font>
      <name val="Arial"/>
      <b val="1"/>
      <color rgb="000B1A30"/>
      <sz val="20"/>
    </font>
    <font>
      <name val="Arial"/>
      <color rgb="0033445C"/>
      <sz val="11"/>
    </font>
    <font>
      <name val="Arial"/>
      <b val="1"/>
      <color rgb="001E8449"/>
      <sz val="10"/>
    </font>
  </fonts>
  <fills count="8">
    <fill>
      <patternFill/>
    </fill>
    <fill>
      <patternFill patternType="gray125"/>
    </fill>
    <fill>
      <patternFill patternType="solid">
        <fgColor rgb="000EA5A4"/>
      </patternFill>
    </fill>
    <fill>
      <patternFill patternType="solid">
        <fgColor rgb="00FFF2CC"/>
      </patternFill>
    </fill>
    <fill>
      <patternFill patternType="solid">
        <fgColor rgb="00FDEBD0"/>
      </patternFill>
    </fill>
    <fill>
      <patternFill patternType="solid">
        <fgColor rgb="000B1A30"/>
      </patternFill>
    </fill>
    <fill>
      <patternFill patternType="solid">
        <fgColor rgb="00F2F5FA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vertical="center"/>
    </xf>
    <xf numFmtId="0" fontId="7" fillId="0" borderId="1" pivotButton="0" quotePrefix="0" xfId="0"/>
    <xf numFmtId="0" fontId="9" fillId="3" borderId="1" applyProtection="1" pivotButton="0" quotePrefix="0" xfId="0">
      <protection locked="0" hidden="0"/>
    </xf>
    <xf numFmtId="165" fontId="9" fillId="3" borderId="1" applyProtection="1" pivotButton="0" quotePrefix="0" xfId="0">
      <protection locked="0" hidden="0"/>
    </xf>
    <xf numFmtId="166" fontId="9" fillId="3" borderId="1" applyProtection="1" pivotButton="0" quotePrefix="0" xfId="0">
      <protection locked="0" hidden="0"/>
    </xf>
    <xf numFmtId="0" fontId="6" fillId="5" borderId="1" applyAlignment="1" pivotButton="0" quotePrefix="0" xfId="0">
      <alignment horizontal="center" vertical="center" wrapText="1"/>
    </xf>
    <xf numFmtId="0" fontId="9" fillId="0" borderId="1" applyAlignment="1" applyProtection="1" pivotButton="0" quotePrefix="0" xfId="0">
      <alignment horizontal="center" vertical="center"/>
      <protection locked="0" hidden="0"/>
    </xf>
    <xf numFmtId="0" fontId="9" fillId="0" borderId="1" applyProtection="1" pivotButton="0" quotePrefix="0" xfId="0">
      <protection locked="0" hidden="0"/>
    </xf>
    <xf numFmtId="0" fontId="7" fillId="0" borderId="0" applyAlignment="1" pivotButton="0" quotePrefix="0" xfId="0">
      <alignment horizontal="right" vertical="center"/>
    </xf>
    <xf numFmtId="167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165" fontId="9" fillId="0" borderId="1" applyProtection="1" pivotButton="0" quotePrefix="0" xfId="0">
      <protection locked="0" hidden="0"/>
    </xf>
    <xf numFmtId="0" fontId="8" fillId="0" borderId="1" pivotButton="0" quotePrefix="0" xfId="0"/>
    <xf numFmtId="167" fontId="9" fillId="0" borderId="1" applyProtection="1" pivotButton="0" quotePrefix="0" xfId="0">
      <protection locked="0" hidden="0"/>
    </xf>
    <xf numFmtId="0" fontId="8" fillId="0" borderId="1" applyAlignment="1" pivotButton="0" quotePrefix="0" xfId="0">
      <alignment horizontal="center" vertical="center"/>
    </xf>
    <xf numFmtId="167" fontId="8" fillId="0" borderId="1" pivotButton="0" quotePrefix="0" xfId="0"/>
    <xf numFmtId="168" fontId="13" fillId="0" borderId="1" pivotButton="0" quotePrefix="0" xfId="0"/>
    <xf numFmtId="0" fontId="7" fillId="6" borderId="1" pivotButton="0" quotePrefix="0" xfId="0"/>
    <xf numFmtId="0" fontId="8" fillId="6" borderId="1" applyAlignment="1" pivotButton="0" quotePrefix="0" xfId="0">
      <alignment horizontal="center" vertical="center"/>
    </xf>
    <xf numFmtId="167" fontId="7" fillId="6" borderId="1" pivotButton="0" quotePrefix="0" xfId="0"/>
    <xf numFmtId="168" fontId="13" fillId="6" borderId="1" pivotButton="0" quotePrefix="0" xfId="0"/>
    <xf numFmtId="0" fontId="13" fillId="0" borderId="1" pivotButton="0" quotePrefix="0" xfId="0"/>
    <xf numFmtId="0" fontId="7" fillId="7" borderId="1" pivotButton="0" quotePrefix="0" xfId="0"/>
    <xf numFmtId="0" fontId="8" fillId="7" borderId="1" applyAlignment="1" pivotButton="0" quotePrefix="0" xfId="0">
      <alignment horizontal="center" vertical="center"/>
    </xf>
    <xf numFmtId="167" fontId="7" fillId="7" borderId="1" pivotButton="0" quotePrefix="0" xfId="0"/>
    <xf numFmtId="168" fontId="13" fillId="7" borderId="1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 wrapText="1"/>
    </xf>
    <xf numFmtId="0" fontId="17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C0392B"/>
        <sz val="10"/>
      </font>
    </dxf>
    <dxf>
      <font>
        <name val="Arial"/>
        <b val="1"/>
        <color rgb="001E8449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0" customWidth="1" min="3" max="3"/>
  </cols>
  <sheetData>
    <row r="1">
      <c r="B1" s="1" t="inlineStr">
        <is>
          <t>Mantam Product</t>
        </is>
      </c>
    </row>
    <row r="2" ht="28" customHeight="1">
      <c r="B2" s="2" t="inlineStr">
        <is>
          <t>Akuntansi Terintegrasi</t>
        </is>
      </c>
    </row>
    <row r="3" ht="44" customHeight="1">
      <c r="B3" s="3" t="inlineStr">
        <is>
          <t>Dari jurnal umum ke neraca saldo, laba rugi, dan neraca secara otomatis. Cukup isi jurnal; semua laporan ikut berubah.</t>
        </is>
      </c>
    </row>
    <row r="5">
      <c r="B5" s="4" t="inlineStr">
        <is>
          <t>Lisensi</t>
        </is>
      </c>
      <c r="C5" s="5" t="inlineStr">
        <is>
          <t>VERSI DEMO. Kapasitas dan fitur dibatasi. Pesan versi lengkap: WhatsApp 089623291732</t>
        </is>
      </c>
    </row>
    <row r="7">
      <c r="B7" s="6" t="inlineStr">
        <is>
          <t>Cara memakai</t>
        </is>
      </c>
      <c r="C7" s="7" t="n"/>
    </row>
    <row r="8" ht="16" customHeight="1">
      <c r="B8" s="8" t="inlineStr">
        <is>
          <t>Langkah 1</t>
        </is>
      </c>
      <c r="C8" s="9" t="inlineStr">
        <is>
          <t>Buka PARAMETER, isi nama perusahaan dan tanggal periode laporan.</t>
        </is>
      </c>
    </row>
    <row r="9" ht="16" customHeight="1">
      <c r="B9" s="8" t="inlineStr">
        <is>
          <t>Langkah 2</t>
        </is>
      </c>
      <c r="C9" s="9" t="inlineStr">
        <is>
          <t>Periksa atau tambah akun di COA (kode unik, tipe, saldo normal D/K, grup laporan).</t>
        </is>
      </c>
    </row>
    <row r="10" ht="30" customHeight="1">
      <c r="B10" s="8" t="inlineStr">
        <is>
          <t>Langkah 3</t>
        </is>
      </c>
      <c r="C10" s="9" t="inlineStr">
        <is>
          <t>Catat transaksi di JURNAL: satu nomor bukti per transaksi, total debit harus sama dengan kredit (kolom Cek harus OK).</t>
        </is>
      </c>
    </row>
    <row r="11" ht="16" customHeight="1">
      <c r="B11" s="8" t="inlineStr">
        <is>
          <t>Langkah 4</t>
        </is>
      </c>
      <c r="C11" s="9" t="inlineStr">
        <is>
          <t>Baca laporan di NERACA_SALDO, LABA_RUGI, NERACA. Cek keseimbangan harus berstatus SEIMBANG.</t>
        </is>
      </c>
    </row>
    <row r="13">
      <c r="B13" s="6" t="inlineStr">
        <is>
          <t>Isi berkas</t>
        </is>
      </c>
      <c r="C13" s="7" t="n"/>
    </row>
    <row r="14" ht="16" customHeight="1">
      <c r="B14" s="8" t="inlineStr">
        <is>
          <t>PARAMETER</t>
        </is>
      </c>
      <c r="C14" s="9" t="inlineStr">
        <is>
          <t>Nama perusahaan, awal tahun buku, periode laporan, tarif pajak.</t>
        </is>
      </c>
    </row>
    <row r="15" ht="16" customHeight="1">
      <c r="B15" s="8" t="inlineStr">
        <is>
          <t>COA</t>
        </is>
      </c>
      <c r="C15" s="9" t="inlineStr">
        <is>
          <t>Daftar akun (kode, tipe, saldo normal, grup laporan). Kapasitas 30 akun.</t>
        </is>
      </c>
    </row>
    <row r="16" ht="16" customHeight="1">
      <c r="B16" s="8" t="inlineStr">
        <is>
          <t>JURNAL</t>
        </is>
      </c>
      <c r="C16" s="9" t="inlineStr">
        <is>
          <t>Jurnal umum. Kapasitas 80 baris; kolom pengecekan keseimbangan per bukti otomatis.</t>
        </is>
      </c>
    </row>
    <row r="17" ht="16" customHeight="1">
      <c r="B17" s="8" t="inlineStr">
        <is>
          <t>NERACA_SALDO</t>
        </is>
      </c>
      <c r="C17" s="9" t="inlineStr">
        <is>
          <t>Mutasi dan saldo tiap akun sampai akhir periode, dengan cek debit = kredit.</t>
        </is>
      </c>
    </row>
    <row r="18" ht="16" customHeight="1">
      <c r="B18" s="8" t="inlineStr">
        <is>
          <t>LABA_RUGI</t>
        </is>
      </c>
      <c r="C18" s="9" t="inlineStr">
        <is>
          <t>Laporan laba rugi per periode dengan rincian dan persentase terhadap pendapatan.</t>
        </is>
      </c>
    </row>
    <row r="19" ht="16" customHeight="1">
      <c r="B19" s="8" t="inlineStr">
        <is>
          <t>NERACA</t>
        </is>
      </c>
      <c r="C19" s="9" t="inlineStr">
        <is>
          <t>Laporan posisi keuangan per akhir periode, dengan cek keseimbangan otomatis.</t>
        </is>
      </c>
    </row>
    <row r="21">
      <c r="B21" s="6" t="inlineStr">
        <is>
          <t>Legenda warna</t>
        </is>
      </c>
      <c r="C21" s="7" t="n"/>
    </row>
    <row r="22">
      <c r="B22" s="10" t="inlineStr">
        <is>
          <t>Teks biru</t>
        </is>
      </c>
      <c r="C22" s="11" t="inlineStr">
        <is>
          <t>Sel input: boleh Anda ubah (tidak terkunci).</t>
        </is>
      </c>
    </row>
    <row r="23">
      <c r="B23" s="12" t="inlineStr">
        <is>
          <t>Sel kuning</t>
        </is>
      </c>
      <c r="C23" s="11" t="inlineStr">
        <is>
          <t>Parameter kunci: periksa terlebih dulu.</t>
        </is>
      </c>
    </row>
    <row r="24">
      <c r="B24" s="11" t="inlineStr">
        <is>
          <t>Teks hitam</t>
        </is>
      </c>
      <c r="C24" s="11" t="inlineStr">
        <is>
          <t>Rumus otomatis (terkunci; Review &gt; Unprotect Sheet tanpa kata sandi bila perlu).</t>
        </is>
      </c>
    </row>
    <row r="26">
      <c r="B26" s="6" t="inlineStr">
        <is>
          <t>Catatan</t>
        </is>
      </c>
      <c r="C26" s="7" t="n"/>
    </row>
    <row r="27" ht="16" customHeight="1">
      <c r="C27" s="9" t="inlineStr">
        <is>
          <t>• Seluruh data adalah simulasi buatan, bukan data perusahaan nyata.</t>
        </is>
      </c>
    </row>
    <row r="28" ht="30" customHeight="1">
      <c r="C28" s="9" t="inlineStr">
        <is>
          <t>• Hasil perhitungan adalah alat bantu; verifikasi dengan akuntan/konsultan sebelum dipakai untuk keputusan atau pelaporan resmi.</t>
        </is>
      </c>
    </row>
    <row r="29" ht="30" customHeight="1">
      <c r="C29" s="9" t="inlineStr">
        <is>
          <t>• Untuk akun baru: pilih grup laporan yang sudah ada agar otomatis masuk ke laporan (baris 'lainnya').</t>
        </is>
      </c>
    </row>
    <row r="30" ht="30" customHeight="1">
      <c r="C30" s="9" t="inlineStr">
        <is>
          <t>• Estimasi pajak penghasilan bersifat sederhana (tarif × laba sebelum pajak); sesuaikan dengan ketentuan perpajakan Anda.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36" customWidth="1" min="3" max="3"/>
    <col width="50" customWidth="1" min="4" max="4"/>
  </cols>
  <sheetData>
    <row r="1" ht="24" customHeight="1">
      <c r="A1" s="13" t="inlineStr">
        <is>
          <t>Parameter</t>
        </is>
      </c>
    </row>
    <row r="2">
      <c r="A2" s="14" t="inlineStr">
        <is>
          <t>Isi sel kuning sebelum membaca laporan.</t>
        </is>
      </c>
    </row>
    <row r="3">
      <c r="A3" s="15" t="inlineStr">
        <is>
          <t>VERSI DEMO: kapasitas &amp; fitur dibatasi, data simulasi. Versi lengkap: WhatsApp 089623291732</t>
        </is>
      </c>
    </row>
    <row r="5">
      <c r="B5" s="16" t="inlineStr">
        <is>
          <t>Nama perusahaan</t>
        </is>
      </c>
      <c r="C5" s="17" t="inlineStr">
        <is>
          <t>PT Contoh Sejahtera (simulasi)</t>
        </is>
      </c>
      <c r="D5" s="14" t="inlineStr"/>
    </row>
    <row r="6">
      <c r="B6" s="16" t="inlineStr">
        <is>
          <t>Awal tahun buku</t>
        </is>
      </c>
      <c r="C6" s="18" t="n">
        <v>46023</v>
      </c>
      <c r="D6" s="14" t="inlineStr"/>
    </row>
    <row r="7">
      <c r="B7" s="16" t="inlineStr">
        <is>
          <t>Awal periode laporan</t>
        </is>
      </c>
      <c r="C7" s="18" t="n">
        <v>46023</v>
      </c>
      <c r="D7" s="14" t="inlineStr">
        <is>
          <t>Laba rugi menghitung dari tanggal ini</t>
        </is>
      </c>
    </row>
    <row r="8">
      <c r="B8" s="16" t="inlineStr">
        <is>
          <t>Akhir periode laporan</t>
        </is>
      </c>
      <c r="C8" s="18" t="n">
        <v>46081</v>
      </c>
      <c r="D8" s="14" t="inlineStr">
        <is>
          <t>Neraca &amp; neraca saldo per tanggal ini</t>
        </is>
      </c>
    </row>
    <row r="9">
      <c r="B9" s="16" t="inlineStr">
        <is>
          <t>Tarif pajak penghasilan (estimasi)</t>
        </is>
      </c>
      <c r="C9" s="19" t="n">
        <v>0.22</v>
      </c>
      <c r="D9" s="14" t="inlineStr">
        <is>
          <t>Sederhana; sesuaikan dengan ketentuan Anda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14" customWidth="1" min="4" max="4"/>
    <col width="30" customWidth="1" min="5" max="5"/>
  </cols>
  <sheetData>
    <row r="1" ht="24" customHeight="1">
      <c r="A1" s="13" t="inlineStr">
        <is>
          <t>Daftar Akun (Chart of Accounts)</t>
        </is>
      </c>
    </row>
    <row r="2">
      <c r="A2" s="14" t="inlineStr">
        <is>
          <t>Kapasitas 30 akun</t>
        </is>
      </c>
    </row>
    <row r="3">
      <c r="A3" s="15" t="inlineStr">
        <is>
          <t>VERSI DEMO: kapasitas &amp; fitur dibatasi, data simulasi. Versi lengkap: WhatsApp 089623291732</t>
        </is>
      </c>
    </row>
    <row r="5" ht="30" customHeight="1">
      <c r="A5" s="20" t="inlineStr">
        <is>
          <t>Kode</t>
        </is>
      </c>
      <c r="B5" s="20" t="inlineStr">
        <is>
          <t>Nama Akun</t>
        </is>
      </c>
      <c r="C5" s="20" t="inlineStr">
        <is>
          <t>Tipe</t>
        </is>
      </c>
      <c r="D5" s="20" t="inlineStr">
        <is>
          <t>Saldo Normal</t>
        </is>
      </c>
      <c r="E5" s="20" t="inlineStr">
        <is>
          <t>Grup Laporan</t>
        </is>
      </c>
    </row>
    <row r="6">
      <c r="A6" s="21" t="n">
        <v>1101</v>
      </c>
      <c r="B6" s="22" t="inlineStr">
        <is>
          <t>Kas</t>
        </is>
      </c>
      <c r="C6" s="22" t="inlineStr">
        <is>
          <t>Aset</t>
        </is>
      </c>
      <c r="D6" s="21" t="inlineStr">
        <is>
          <t>D</t>
        </is>
      </c>
      <c r="E6" s="22" t="inlineStr">
        <is>
          <t>Aset Lancar</t>
        </is>
      </c>
    </row>
    <row r="7">
      <c r="A7" s="21" t="n">
        <v>1102</v>
      </c>
      <c r="B7" s="22" t="inlineStr">
        <is>
          <t>Bank</t>
        </is>
      </c>
      <c r="C7" s="22" t="inlineStr">
        <is>
          <t>Aset</t>
        </is>
      </c>
      <c r="D7" s="21" t="inlineStr">
        <is>
          <t>D</t>
        </is>
      </c>
      <c r="E7" s="22" t="inlineStr">
        <is>
          <t>Aset Lancar</t>
        </is>
      </c>
    </row>
    <row r="8">
      <c r="A8" s="21" t="n">
        <v>1201</v>
      </c>
      <c r="B8" s="22" t="inlineStr">
        <is>
          <t>Piutang Usaha</t>
        </is>
      </c>
      <c r="C8" s="22" t="inlineStr">
        <is>
          <t>Aset</t>
        </is>
      </c>
      <c r="D8" s="21" t="inlineStr">
        <is>
          <t>D</t>
        </is>
      </c>
      <c r="E8" s="22" t="inlineStr">
        <is>
          <t>Aset Lancar</t>
        </is>
      </c>
    </row>
    <row r="9">
      <c r="A9" s="21" t="n">
        <v>1301</v>
      </c>
      <c r="B9" s="22" t="inlineStr">
        <is>
          <t>Persediaan Barang Dagang</t>
        </is>
      </c>
      <c r="C9" s="22" t="inlineStr">
        <is>
          <t>Aset</t>
        </is>
      </c>
      <c r="D9" s="21" t="inlineStr">
        <is>
          <t>D</t>
        </is>
      </c>
      <c r="E9" s="22" t="inlineStr">
        <is>
          <t>Aset Lancar</t>
        </is>
      </c>
    </row>
    <row r="10">
      <c r="A10" s="21" t="n">
        <v>1401</v>
      </c>
      <c r="B10" s="22" t="inlineStr">
        <is>
          <t>Beban Dibayar Dimuka</t>
        </is>
      </c>
      <c r="C10" s="22" t="inlineStr">
        <is>
          <t>Aset</t>
        </is>
      </c>
      <c r="D10" s="21" t="inlineStr">
        <is>
          <t>D</t>
        </is>
      </c>
      <c r="E10" s="22" t="inlineStr">
        <is>
          <t>Aset Lancar</t>
        </is>
      </c>
    </row>
    <row r="11">
      <c r="A11" s="21" t="n">
        <v>1501</v>
      </c>
      <c r="B11" s="22" t="inlineStr">
        <is>
          <t>Peralatan Kantor</t>
        </is>
      </c>
      <c r="C11" s="22" t="inlineStr">
        <is>
          <t>Aset</t>
        </is>
      </c>
      <c r="D11" s="21" t="inlineStr">
        <is>
          <t>D</t>
        </is>
      </c>
      <c r="E11" s="22" t="inlineStr">
        <is>
          <t>Aset Tetap</t>
        </is>
      </c>
    </row>
    <row r="12">
      <c r="A12" s="21" t="n">
        <v>1502</v>
      </c>
      <c r="B12" s="22" t="inlineStr">
        <is>
          <t>Akumulasi Penyusutan Peralatan</t>
        </is>
      </c>
      <c r="C12" s="22" t="inlineStr">
        <is>
          <t>Aset</t>
        </is>
      </c>
      <c r="D12" s="21" t="inlineStr">
        <is>
          <t>K</t>
        </is>
      </c>
      <c r="E12" s="22" t="inlineStr">
        <is>
          <t>Aset Tetap</t>
        </is>
      </c>
    </row>
    <row r="13">
      <c r="A13" s="21" t="n">
        <v>2101</v>
      </c>
      <c r="B13" s="22" t="inlineStr">
        <is>
          <t>Utang Usaha</t>
        </is>
      </c>
      <c r="C13" s="22" t="inlineStr">
        <is>
          <t>Kewajiban</t>
        </is>
      </c>
      <c r="D13" s="21" t="inlineStr">
        <is>
          <t>K</t>
        </is>
      </c>
      <c r="E13" s="22" t="inlineStr">
        <is>
          <t>Kewajiban Lancar</t>
        </is>
      </c>
    </row>
    <row r="14">
      <c r="A14" s="21" t="n">
        <v>2102</v>
      </c>
      <c r="B14" s="22" t="inlineStr">
        <is>
          <t>Utang Gaji</t>
        </is>
      </c>
      <c r="C14" s="22" t="inlineStr">
        <is>
          <t>Kewajiban</t>
        </is>
      </c>
      <c r="D14" s="21" t="inlineStr">
        <is>
          <t>K</t>
        </is>
      </c>
      <c r="E14" s="22" t="inlineStr">
        <is>
          <t>Kewajiban Lancar</t>
        </is>
      </c>
    </row>
    <row r="15">
      <c r="A15" s="21" t="n">
        <v>2103</v>
      </c>
      <c r="B15" s="22" t="inlineStr">
        <is>
          <t>Utang Pajak</t>
        </is>
      </c>
      <c r="C15" s="22" t="inlineStr">
        <is>
          <t>Kewajiban</t>
        </is>
      </c>
      <c r="D15" s="21" t="inlineStr">
        <is>
          <t>K</t>
        </is>
      </c>
      <c r="E15" s="22" t="inlineStr">
        <is>
          <t>Kewajiban Lancar</t>
        </is>
      </c>
    </row>
    <row r="16">
      <c r="A16" s="21" t="n">
        <v>2201</v>
      </c>
      <c r="B16" s="22" t="inlineStr">
        <is>
          <t>Utang Bank Jangka Panjang</t>
        </is>
      </c>
      <c r="C16" s="22" t="inlineStr">
        <is>
          <t>Kewajiban</t>
        </is>
      </c>
      <c r="D16" s="21" t="inlineStr">
        <is>
          <t>K</t>
        </is>
      </c>
      <c r="E16" s="22" t="inlineStr">
        <is>
          <t>Kewajiban Jangka Panjang</t>
        </is>
      </c>
    </row>
    <row r="17">
      <c r="A17" s="21" t="n">
        <v>3101</v>
      </c>
      <c r="B17" s="22" t="inlineStr">
        <is>
          <t>Modal Disetor</t>
        </is>
      </c>
      <c r="C17" s="22" t="inlineStr">
        <is>
          <t>Ekuitas</t>
        </is>
      </c>
      <c r="D17" s="21" t="inlineStr">
        <is>
          <t>K</t>
        </is>
      </c>
      <c r="E17" s="22" t="inlineStr">
        <is>
          <t>Ekuitas</t>
        </is>
      </c>
    </row>
    <row r="18">
      <c r="A18" s="21" t="n">
        <v>3201</v>
      </c>
      <c r="B18" s="22" t="inlineStr">
        <is>
          <t>Laba Ditahan</t>
        </is>
      </c>
      <c r="C18" s="22" t="inlineStr">
        <is>
          <t>Ekuitas</t>
        </is>
      </c>
      <c r="D18" s="21" t="inlineStr">
        <is>
          <t>K</t>
        </is>
      </c>
      <c r="E18" s="22" t="inlineStr">
        <is>
          <t>Ekuitas</t>
        </is>
      </c>
    </row>
    <row r="19">
      <c r="A19" s="21" t="n">
        <v>4101</v>
      </c>
      <c r="B19" s="22" t="inlineStr">
        <is>
          <t>Penjualan</t>
        </is>
      </c>
      <c r="C19" s="22" t="inlineStr">
        <is>
          <t>Pendapatan</t>
        </is>
      </c>
      <c r="D19" s="21" t="inlineStr">
        <is>
          <t>K</t>
        </is>
      </c>
      <c r="E19" s="22" t="inlineStr">
        <is>
          <t>Pendapatan Usaha</t>
        </is>
      </c>
    </row>
    <row r="20">
      <c r="A20" s="21" t="n">
        <v>4102</v>
      </c>
      <c r="B20" s="22" t="inlineStr">
        <is>
          <t>Retur &amp; Potongan Penjualan</t>
        </is>
      </c>
      <c r="C20" s="22" t="inlineStr">
        <is>
          <t>Pendapatan</t>
        </is>
      </c>
      <c r="D20" s="21" t="inlineStr">
        <is>
          <t>D</t>
        </is>
      </c>
      <c r="E20" s="22" t="inlineStr">
        <is>
          <t>Pendapatan Usaha</t>
        </is>
      </c>
    </row>
    <row r="21">
      <c r="A21" s="21" t="n">
        <v>5101</v>
      </c>
      <c r="B21" s="22" t="inlineStr">
        <is>
          <t>Harga Pokok Penjualan</t>
        </is>
      </c>
      <c r="C21" s="22" t="inlineStr">
        <is>
          <t>Beban</t>
        </is>
      </c>
      <c r="D21" s="21" t="inlineStr">
        <is>
          <t>D</t>
        </is>
      </c>
      <c r="E21" s="22" t="inlineStr">
        <is>
          <t>HPP</t>
        </is>
      </c>
    </row>
    <row r="22">
      <c r="A22" s="21" t="n">
        <v>6101</v>
      </c>
      <c r="B22" s="22" t="inlineStr">
        <is>
          <t>Beban Gaji</t>
        </is>
      </c>
      <c r="C22" s="22" t="inlineStr">
        <is>
          <t>Beban</t>
        </is>
      </c>
      <c r="D22" s="21" t="inlineStr">
        <is>
          <t>D</t>
        </is>
      </c>
      <c r="E22" s="22" t="inlineStr">
        <is>
          <t>Beban Operasional</t>
        </is>
      </c>
    </row>
    <row r="23">
      <c r="A23" s="21" t="n">
        <v>6102</v>
      </c>
      <c r="B23" s="22" t="inlineStr">
        <is>
          <t>Beban Sewa</t>
        </is>
      </c>
      <c r="C23" s="22" t="inlineStr">
        <is>
          <t>Beban</t>
        </is>
      </c>
      <c r="D23" s="21" t="inlineStr">
        <is>
          <t>D</t>
        </is>
      </c>
      <c r="E23" s="22" t="inlineStr">
        <is>
          <t>Beban Operasional</t>
        </is>
      </c>
    </row>
    <row r="24">
      <c r="A24" s="21" t="n">
        <v>6103</v>
      </c>
      <c r="B24" s="22" t="inlineStr">
        <is>
          <t>Beban Listrik &amp; Air</t>
        </is>
      </c>
      <c r="C24" s="22" t="inlineStr">
        <is>
          <t>Beban</t>
        </is>
      </c>
      <c r="D24" s="21" t="inlineStr">
        <is>
          <t>D</t>
        </is>
      </c>
      <c r="E24" s="22" t="inlineStr">
        <is>
          <t>Beban Operasional</t>
        </is>
      </c>
    </row>
    <row r="25">
      <c r="A25" s="21" t="n">
        <v>6104</v>
      </c>
      <c r="B25" s="22" t="inlineStr">
        <is>
          <t>Beban Pemasaran</t>
        </is>
      </c>
      <c r="C25" s="22" t="inlineStr">
        <is>
          <t>Beban</t>
        </is>
      </c>
      <c r="D25" s="21" t="inlineStr">
        <is>
          <t>D</t>
        </is>
      </c>
      <c r="E25" s="22" t="inlineStr">
        <is>
          <t>Beban Operasional</t>
        </is>
      </c>
    </row>
    <row r="26">
      <c r="A26" s="21" t="n">
        <v>6105</v>
      </c>
      <c r="B26" s="22" t="inlineStr">
        <is>
          <t>Beban Penyusutan</t>
        </is>
      </c>
      <c r="C26" s="22" t="inlineStr">
        <is>
          <t>Beban</t>
        </is>
      </c>
      <c r="D26" s="21" t="inlineStr">
        <is>
          <t>D</t>
        </is>
      </c>
      <c r="E26" s="22" t="inlineStr">
        <is>
          <t>Beban Operasional</t>
        </is>
      </c>
    </row>
    <row r="27">
      <c r="A27" s="21" t="n">
        <v>6106</v>
      </c>
      <c r="B27" s="22" t="inlineStr">
        <is>
          <t>Beban Administrasi &amp; Umum</t>
        </is>
      </c>
      <c r="C27" s="22" t="inlineStr">
        <is>
          <t>Beban</t>
        </is>
      </c>
      <c r="D27" s="21" t="inlineStr">
        <is>
          <t>D</t>
        </is>
      </c>
      <c r="E27" s="22" t="inlineStr">
        <is>
          <t>Beban Operasional</t>
        </is>
      </c>
    </row>
    <row r="28">
      <c r="A28" s="21" t="n">
        <v>7101</v>
      </c>
      <c r="B28" s="22" t="inlineStr">
        <is>
          <t>Pendapatan Bunga</t>
        </is>
      </c>
      <c r="C28" s="22" t="inlineStr">
        <is>
          <t>Pendapatan</t>
        </is>
      </c>
      <c r="D28" s="21" t="inlineStr">
        <is>
          <t>K</t>
        </is>
      </c>
      <c r="E28" s="22" t="inlineStr">
        <is>
          <t>Pendapatan/Beban Lain</t>
        </is>
      </c>
    </row>
    <row r="29">
      <c r="A29" s="21" t="n">
        <v>7201</v>
      </c>
      <c r="B29" s="22" t="inlineStr">
        <is>
          <t>Beban Bunga</t>
        </is>
      </c>
      <c r="C29" s="22" t="inlineStr">
        <is>
          <t>Beban</t>
        </is>
      </c>
      <c r="D29" s="21" t="inlineStr">
        <is>
          <t>D</t>
        </is>
      </c>
      <c r="E29" s="22" t="inlineStr">
        <is>
          <t>Pendapatan/Beban Lain</t>
        </is>
      </c>
    </row>
    <row r="30">
      <c r="A30" s="21" t="n"/>
      <c r="B30" s="22" t="n"/>
      <c r="C30" s="22" t="n"/>
      <c r="D30" s="21" t="n"/>
      <c r="E30" s="22" t="n"/>
    </row>
    <row r="31">
      <c r="A31" s="21" t="n"/>
      <c r="B31" s="22" t="n"/>
      <c r="C31" s="22" t="n"/>
      <c r="D31" s="21" t="n"/>
      <c r="E31" s="22" t="n"/>
    </row>
    <row r="32">
      <c r="A32" s="21" t="n"/>
      <c r="B32" s="22" t="n"/>
      <c r="C32" s="22" t="n"/>
      <c r="D32" s="21" t="n"/>
      <c r="E32" s="22" t="n"/>
    </row>
    <row r="33">
      <c r="A33" s="21" t="n"/>
      <c r="B33" s="22" t="n"/>
      <c r="C33" s="22" t="n"/>
      <c r="D33" s="21" t="n"/>
      <c r="E33" s="22" t="n"/>
    </row>
    <row r="34">
      <c r="A34" s="21" t="n"/>
      <c r="B34" s="22" t="n"/>
      <c r="C34" s="22" t="n"/>
      <c r="D34" s="21" t="n"/>
      <c r="E34" s="22" t="n"/>
    </row>
    <row r="35">
      <c r="A35" s="21" t="n"/>
      <c r="B35" s="22" t="n"/>
      <c r="C35" s="22" t="n"/>
      <c r="D35" s="21" t="n"/>
      <c r="E35" s="2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E3"/>
  </mergeCells>
  <dataValidations count="2">
    <dataValidation sqref="C6:C35" showDropDown="0" showInputMessage="0" showErrorMessage="0" allowBlank="1" type="list">
      <formula1>"Aset,Kewajiban,Ekuitas,Pendapatan,Beban"</formula1>
    </dataValidation>
    <dataValidation sqref="D6:D35" showDropDown="0" showInputMessage="0" showErrorMessage="0" allowBlank="1" type="list">
      <formula1>"D,K"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32" customWidth="1" min="4" max="4"/>
    <col width="30" customWidth="1" min="5" max="5"/>
    <col width="16" customWidth="1" min="6" max="6"/>
    <col width="16" customWidth="1" min="7" max="7"/>
    <col width="16" customWidth="1" min="8" max="8"/>
    <col width="12" customWidth="1" min="9" max="9"/>
    <col width="24" customWidth="1" min="10" max="10"/>
  </cols>
  <sheetData>
    <row r="1" ht="24" customHeight="1">
      <c r="A1" s="13" t="inlineStr">
        <is>
          <t>Jurnal Umum</t>
        </is>
      </c>
    </row>
    <row r="2">
      <c r="A2" s="14" t="inlineStr">
        <is>
          <t>Kapasitas 80 baris. Isi kolom bertulisan biru.</t>
        </is>
      </c>
    </row>
    <row r="3">
      <c r="A3" s="15" t="inlineStr">
        <is>
          <t>VERSI DEMO: kapasitas &amp; fitur dibatasi, data simulasi. Versi lengkap: WhatsApp 089623291732</t>
        </is>
      </c>
    </row>
    <row r="4">
      <c r="E4" s="23" t="inlineStr">
        <is>
          <t>Total</t>
        </is>
      </c>
      <c r="F4" s="24">
        <f>SUM(F6:F85)</f>
        <v/>
      </c>
      <c r="G4" s="24">
        <f>SUM(G6:G85)</f>
        <v/>
      </c>
      <c r="H4" s="25">
        <f>IF(ROUND(F4-G4,0)=0,"SEIMBANG","SELISIH")</f>
        <v/>
      </c>
    </row>
    <row r="5" ht="30" customHeight="1">
      <c r="A5" s="20" t="inlineStr">
        <is>
          <t>Tanggal</t>
        </is>
      </c>
      <c r="B5" s="20" t="inlineStr">
        <is>
          <t>No. Bukti</t>
        </is>
      </c>
      <c r="C5" s="20" t="inlineStr">
        <is>
          <t>Kode Akun</t>
        </is>
      </c>
      <c r="D5" s="20" t="inlineStr">
        <is>
          <t>Nama Akun</t>
        </is>
      </c>
      <c r="E5" s="20" t="inlineStr">
        <is>
          <t>Keterangan</t>
        </is>
      </c>
      <c r="F5" s="20" t="inlineStr">
        <is>
          <t>Debit (Rp)</t>
        </is>
      </c>
      <c r="G5" s="20" t="inlineStr">
        <is>
          <t>Kredit (Rp)</t>
        </is>
      </c>
      <c r="H5" s="20" t="inlineStr">
        <is>
          <t>Cek Bukti</t>
        </is>
      </c>
      <c r="I5" s="20" t="inlineStr">
        <is>
          <t>Tipe</t>
        </is>
      </c>
      <c r="J5" s="20" t="inlineStr">
        <is>
          <t>Grup</t>
        </is>
      </c>
    </row>
    <row r="6">
      <c r="A6" s="26" t="n">
        <v>46023</v>
      </c>
      <c r="B6" s="22" t="inlineStr">
        <is>
          <t>JU-2026-001</t>
        </is>
      </c>
      <c r="C6" s="21" t="n">
        <v>1101</v>
      </c>
      <c r="D6" s="27">
        <f>IF(C6="","",IFERROR(INDEX(COA!$B$6:$B$35,MATCH(C6,COA!$A$6:$A$35,0)),"AKUN TIDAK ADA"))</f>
        <v/>
      </c>
      <c r="E6" s="22" t="inlineStr">
        <is>
          <t>Saldo awal</t>
        </is>
      </c>
      <c r="F6" s="28" t="n">
        <v>25000000</v>
      </c>
      <c r="G6" s="28" t="n"/>
      <c r="H6" s="29">
        <f>IF(B6="","",IF(ROUND(SUMIFS($F$6:$F$85,$B$6:$B$85,B6)-SUMIFS($G$6:$G$85,$B$6:$B$85,B6),0)=0,"OK","TIDAK SEIMBANG"))</f>
        <v/>
      </c>
      <c r="I6" s="27">
        <f>IF(C6="","",IFERROR(INDEX(COA!$C$6:$C$35,MATCH(C6,COA!$A$6:$A$35,0)),""))</f>
        <v/>
      </c>
      <c r="J6" s="27">
        <f>IF(C6="","",IFERROR(INDEX(COA!$E$6:$E$35,MATCH(C6,COA!$A$6:$A$35,0)),""))</f>
        <v/>
      </c>
    </row>
    <row r="7">
      <c r="A7" s="26" t="n">
        <v>46023</v>
      </c>
      <c r="B7" s="22" t="inlineStr">
        <is>
          <t>JU-2026-001</t>
        </is>
      </c>
      <c r="C7" s="21" t="n">
        <v>1102</v>
      </c>
      <c r="D7" s="27">
        <f>IF(C7="","",IFERROR(INDEX(COA!$B$6:$B$35,MATCH(C7,COA!$A$6:$A$35,0)),"AKUN TIDAK ADA"))</f>
        <v/>
      </c>
      <c r="E7" s="22" t="inlineStr">
        <is>
          <t>Saldo awal</t>
        </is>
      </c>
      <c r="F7" s="28" t="n">
        <v>150000000</v>
      </c>
      <c r="G7" s="28" t="n"/>
      <c r="H7" s="29">
        <f>IF(B7="","",IF(ROUND(SUMIFS($F$6:$F$85,$B$6:$B$85,B7)-SUMIFS($G$6:$G$85,$B$6:$B$85,B7),0)=0,"OK","TIDAK SEIMBANG"))</f>
        <v/>
      </c>
      <c r="I7" s="27">
        <f>IF(C7="","",IFERROR(INDEX(COA!$C$6:$C$35,MATCH(C7,COA!$A$6:$A$35,0)),""))</f>
        <v/>
      </c>
      <c r="J7" s="27">
        <f>IF(C7="","",IFERROR(INDEX(COA!$E$6:$E$35,MATCH(C7,COA!$A$6:$A$35,0)),""))</f>
        <v/>
      </c>
    </row>
    <row r="8">
      <c r="A8" s="26" t="n">
        <v>46023</v>
      </c>
      <c r="B8" s="22" t="inlineStr">
        <is>
          <t>JU-2026-001</t>
        </is>
      </c>
      <c r="C8" s="21" t="n">
        <v>1301</v>
      </c>
      <c r="D8" s="27">
        <f>IF(C8="","",IFERROR(INDEX(COA!$B$6:$B$35,MATCH(C8,COA!$A$6:$A$35,0)),"AKUN TIDAK ADA"))</f>
        <v/>
      </c>
      <c r="E8" s="22" t="inlineStr">
        <is>
          <t>Saldo awal</t>
        </is>
      </c>
      <c r="F8" s="28" t="n">
        <v>80000000</v>
      </c>
      <c r="G8" s="28" t="n"/>
      <c r="H8" s="29">
        <f>IF(B8="","",IF(ROUND(SUMIFS($F$6:$F$85,$B$6:$B$85,B8)-SUMIFS($G$6:$G$85,$B$6:$B$85,B8),0)=0,"OK","TIDAK SEIMBANG"))</f>
        <v/>
      </c>
      <c r="I8" s="27">
        <f>IF(C8="","",IFERROR(INDEX(COA!$C$6:$C$35,MATCH(C8,COA!$A$6:$A$35,0)),""))</f>
        <v/>
      </c>
      <c r="J8" s="27">
        <f>IF(C8="","",IFERROR(INDEX(COA!$E$6:$E$35,MATCH(C8,COA!$A$6:$A$35,0)),""))</f>
        <v/>
      </c>
    </row>
    <row r="9">
      <c r="A9" s="26" t="n">
        <v>46023</v>
      </c>
      <c r="B9" s="22" t="inlineStr">
        <is>
          <t>JU-2026-001</t>
        </is>
      </c>
      <c r="C9" s="21" t="n">
        <v>1501</v>
      </c>
      <c r="D9" s="27">
        <f>IF(C9="","",IFERROR(INDEX(COA!$B$6:$B$35,MATCH(C9,COA!$A$6:$A$35,0)),"AKUN TIDAK ADA"))</f>
        <v/>
      </c>
      <c r="E9" s="22" t="inlineStr">
        <is>
          <t>Saldo awal</t>
        </is>
      </c>
      <c r="F9" s="28" t="n">
        <v>60000000</v>
      </c>
      <c r="G9" s="28" t="n"/>
      <c r="H9" s="29">
        <f>IF(B9="","",IF(ROUND(SUMIFS($F$6:$F$85,$B$6:$B$85,B9)-SUMIFS($G$6:$G$85,$B$6:$B$85,B9),0)=0,"OK","TIDAK SEIMBANG"))</f>
        <v/>
      </c>
      <c r="I9" s="27">
        <f>IF(C9="","",IFERROR(INDEX(COA!$C$6:$C$35,MATCH(C9,COA!$A$6:$A$35,0)),""))</f>
        <v/>
      </c>
      <c r="J9" s="27">
        <f>IF(C9="","",IFERROR(INDEX(COA!$E$6:$E$35,MATCH(C9,COA!$A$6:$A$35,0)),""))</f>
        <v/>
      </c>
    </row>
    <row r="10">
      <c r="A10" s="26" t="n">
        <v>46023</v>
      </c>
      <c r="B10" s="22" t="inlineStr">
        <is>
          <t>JU-2026-001</t>
        </is>
      </c>
      <c r="C10" s="21" t="n">
        <v>2201</v>
      </c>
      <c r="D10" s="27">
        <f>IF(C10="","",IFERROR(INDEX(COA!$B$6:$B$35,MATCH(C10,COA!$A$6:$A$35,0)),"AKUN TIDAK ADA"))</f>
        <v/>
      </c>
      <c r="E10" s="22" t="inlineStr">
        <is>
          <t>Saldo awal</t>
        </is>
      </c>
      <c r="F10" s="28" t="n"/>
      <c r="G10" s="28" t="n">
        <v>100000000</v>
      </c>
      <c r="H10" s="29">
        <f>IF(B10="","",IF(ROUND(SUMIFS($F$6:$F$85,$B$6:$B$85,B10)-SUMIFS($G$6:$G$85,$B$6:$B$85,B10),0)=0,"OK","TIDAK SEIMBANG"))</f>
        <v/>
      </c>
      <c r="I10" s="27">
        <f>IF(C10="","",IFERROR(INDEX(COA!$C$6:$C$35,MATCH(C10,COA!$A$6:$A$35,0)),""))</f>
        <v/>
      </c>
      <c r="J10" s="27">
        <f>IF(C10="","",IFERROR(INDEX(COA!$E$6:$E$35,MATCH(C10,COA!$A$6:$A$35,0)),""))</f>
        <v/>
      </c>
    </row>
    <row r="11">
      <c r="A11" s="26" t="n">
        <v>46023</v>
      </c>
      <c r="B11" s="22" t="inlineStr">
        <is>
          <t>JU-2026-001</t>
        </is>
      </c>
      <c r="C11" s="21" t="n">
        <v>3101</v>
      </c>
      <c r="D11" s="27">
        <f>IF(C11="","",IFERROR(INDEX(COA!$B$6:$B$35,MATCH(C11,COA!$A$6:$A$35,0)),"AKUN TIDAK ADA"))</f>
        <v/>
      </c>
      <c r="E11" s="22" t="inlineStr">
        <is>
          <t>Saldo awal</t>
        </is>
      </c>
      <c r="F11" s="28" t="n"/>
      <c r="G11" s="28" t="n">
        <v>215000000</v>
      </c>
      <c r="H11" s="29">
        <f>IF(B11="","",IF(ROUND(SUMIFS($F$6:$F$85,$B$6:$B$85,B11)-SUMIFS($G$6:$G$85,$B$6:$B$85,B11),0)=0,"OK","TIDAK SEIMBANG"))</f>
        <v/>
      </c>
      <c r="I11" s="27">
        <f>IF(C11="","",IFERROR(INDEX(COA!$C$6:$C$35,MATCH(C11,COA!$A$6:$A$35,0)),""))</f>
        <v/>
      </c>
      <c r="J11" s="27">
        <f>IF(C11="","",IFERROR(INDEX(COA!$E$6:$E$35,MATCH(C11,COA!$A$6:$A$35,0)),""))</f>
        <v/>
      </c>
    </row>
    <row r="12">
      <c r="A12" s="26" t="n">
        <v>46025</v>
      </c>
      <c r="B12" s="22" t="inlineStr">
        <is>
          <t>JU-2026-002</t>
        </is>
      </c>
      <c r="C12" s="21" t="n">
        <v>1301</v>
      </c>
      <c r="D12" s="27">
        <f>IF(C12="","",IFERROR(INDEX(COA!$B$6:$B$35,MATCH(C12,COA!$A$6:$A$35,0)),"AKUN TIDAK ADA"))</f>
        <v/>
      </c>
      <c r="E12" s="22" t="inlineStr">
        <is>
          <t>Pembelian persediaan kredit</t>
        </is>
      </c>
      <c r="F12" s="28" t="n">
        <v>87000000</v>
      </c>
      <c r="G12" s="28" t="n"/>
      <c r="H12" s="29">
        <f>IF(B12="","",IF(ROUND(SUMIFS($F$6:$F$85,$B$6:$B$85,B12)-SUMIFS($G$6:$G$85,$B$6:$B$85,B12),0)=0,"OK","TIDAK SEIMBANG"))</f>
        <v/>
      </c>
      <c r="I12" s="27">
        <f>IF(C12="","",IFERROR(INDEX(COA!$C$6:$C$35,MATCH(C12,COA!$A$6:$A$35,0)),""))</f>
        <v/>
      </c>
      <c r="J12" s="27">
        <f>IF(C12="","",IFERROR(INDEX(COA!$E$6:$E$35,MATCH(C12,COA!$A$6:$A$35,0)),""))</f>
        <v/>
      </c>
    </row>
    <row r="13">
      <c r="A13" s="26" t="n">
        <v>46025</v>
      </c>
      <c r="B13" s="22" t="inlineStr">
        <is>
          <t>JU-2026-002</t>
        </is>
      </c>
      <c r="C13" s="21" t="n">
        <v>2101</v>
      </c>
      <c r="D13" s="27">
        <f>IF(C13="","",IFERROR(INDEX(COA!$B$6:$B$35,MATCH(C13,COA!$A$6:$A$35,0)),"AKUN TIDAK ADA"))</f>
        <v/>
      </c>
      <c r="E13" s="22" t="inlineStr">
        <is>
          <t>Pembelian persediaan kredit</t>
        </is>
      </c>
      <c r="F13" s="28" t="n"/>
      <c r="G13" s="28" t="n">
        <v>87000000</v>
      </c>
      <c r="H13" s="29">
        <f>IF(B13="","",IF(ROUND(SUMIFS($F$6:$F$85,$B$6:$B$85,B13)-SUMIFS($G$6:$G$85,$B$6:$B$85,B13),0)=0,"OK","TIDAK SEIMBANG"))</f>
        <v/>
      </c>
      <c r="I13" s="27">
        <f>IF(C13="","",IFERROR(INDEX(COA!$C$6:$C$35,MATCH(C13,COA!$A$6:$A$35,0)),""))</f>
        <v/>
      </c>
      <c r="J13" s="27">
        <f>IF(C13="","",IFERROR(INDEX(COA!$E$6:$E$35,MATCH(C13,COA!$A$6:$A$35,0)),""))</f>
        <v/>
      </c>
    </row>
    <row r="14">
      <c r="A14" s="26" t="n">
        <v>46028</v>
      </c>
      <c r="B14" s="22" t="inlineStr">
        <is>
          <t>JU-2026-003</t>
        </is>
      </c>
      <c r="C14" s="21" t="n">
        <v>1201</v>
      </c>
      <c r="D14" s="27">
        <f>IF(C14="","",IFERROR(INDEX(COA!$B$6:$B$35,MATCH(C14,COA!$A$6:$A$35,0)),"AKUN TIDAK ADA"))</f>
        <v/>
      </c>
      <c r="E14" s="22" t="inlineStr">
        <is>
          <t>Penjualan kredit</t>
        </is>
      </c>
      <c r="F14" s="28" t="n">
        <v>128000000</v>
      </c>
      <c r="G14" s="28" t="n"/>
      <c r="H14" s="29">
        <f>IF(B14="","",IF(ROUND(SUMIFS($F$6:$F$85,$B$6:$B$85,B14)-SUMIFS($G$6:$G$85,$B$6:$B$85,B14),0)=0,"OK","TIDAK SEIMBANG"))</f>
        <v/>
      </c>
      <c r="I14" s="27">
        <f>IF(C14="","",IFERROR(INDEX(COA!$C$6:$C$35,MATCH(C14,COA!$A$6:$A$35,0)),""))</f>
        <v/>
      </c>
      <c r="J14" s="27">
        <f>IF(C14="","",IFERROR(INDEX(COA!$E$6:$E$35,MATCH(C14,COA!$A$6:$A$35,0)),""))</f>
        <v/>
      </c>
    </row>
    <row r="15">
      <c r="A15" s="26" t="n">
        <v>46028</v>
      </c>
      <c r="B15" s="22" t="inlineStr">
        <is>
          <t>JU-2026-003</t>
        </is>
      </c>
      <c r="C15" s="21" t="n">
        <v>4101</v>
      </c>
      <c r="D15" s="27">
        <f>IF(C15="","",IFERROR(INDEX(COA!$B$6:$B$35,MATCH(C15,COA!$A$6:$A$35,0)),"AKUN TIDAK ADA"))</f>
        <v/>
      </c>
      <c r="E15" s="22" t="inlineStr">
        <is>
          <t>Penjualan kredit</t>
        </is>
      </c>
      <c r="F15" s="28" t="n"/>
      <c r="G15" s="28" t="n">
        <v>128000000</v>
      </c>
      <c r="H15" s="29">
        <f>IF(B15="","",IF(ROUND(SUMIFS($F$6:$F$85,$B$6:$B$85,B15)-SUMIFS($G$6:$G$85,$B$6:$B$85,B15),0)=0,"OK","TIDAK SEIMBANG"))</f>
        <v/>
      </c>
      <c r="I15" s="27">
        <f>IF(C15="","",IFERROR(INDEX(COA!$C$6:$C$35,MATCH(C15,COA!$A$6:$A$35,0)),""))</f>
        <v/>
      </c>
      <c r="J15" s="27">
        <f>IF(C15="","",IFERROR(INDEX(COA!$E$6:$E$35,MATCH(C15,COA!$A$6:$A$35,0)),""))</f>
        <v/>
      </c>
    </row>
    <row r="16">
      <c r="A16" s="26" t="n">
        <v>46028</v>
      </c>
      <c r="B16" s="22" t="inlineStr">
        <is>
          <t>JU-2026-004</t>
        </is>
      </c>
      <c r="C16" s="21" t="n">
        <v>5101</v>
      </c>
      <c r="D16" s="27">
        <f>IF(C16="","",IFERROR(INDEX(COA!$B$6:$B$35,MATCH(C16,COA!$A$6:$A$35,0)),"AKUN TIDAK ADA"))</f>
        <v/>
      </c>
      <c r="E16" s="22" t="inlineStr">
        <is>
          <t>HPP penjualan</t>
        </is>
      </c>
      <c r="F16" s="28" t="n">
        <v>76800000</v>
      </c>
      <c r="G16" s="28" t="n"/>
      <c r="H16" s="29">
        <f>IF(B16="","",IF(ROUND(SUMIFS($F$6:$F$85,$B$6:$B$85,B16)-SUMIFS($G$6:$G$85,$B$6:$B$85,B16),0)=0,"OK","TIDAK SEIMBANG"))</f>
        <v/>
      </c>
      <c r="I16" s="27">
        <f>IF(C16="","",IFERROR(INDEX(COA!$C$6:$C$35,MATCH(C16,COA!$A$6:$A$35,0)),""))</f>
        <v/>
      </c>
      <c r="J16" s="27">
        <f>IF(C16="","",IFERROR(INDEX(COA!$E$6:$E$35,MATCH(C16,COA!$A$6:$A$35,0)),""))</f>
        <v/>
      </c>
    </row>
    <row r="17">
      <c r="A17" s="26" t="n">
        <v>46028</v>
      </c>
      <c r="B17" s="22" t="inlineStr">
        <is>
          <t>JU-2026-004</t>
        </is>
      </c>
      <c r="C17" s="21" t="n">
        <v>1301</v>
      </c>
      <c r="D17" s="27">
        <f>IF(C17="","",IFERROR(INDEX(COA!$B$6:$B$35,MATCH(C17,COA!$A$6:$A$35,0)),"AKUN TIDAK ADA"))</f>
        <v/>
      </c>
      <c r="E17" s="22" t="inlineStr">
        <is>
          <t>HPP penjualan</t>
        </is>
      </c>
      <c r="F17" s="28" t="n"/>
      <c r="G17" s="28" t="n">
        <v>76800000</v>
      </c>
      <c r="H17" s="29">
        <f>IF(B17="","",IF(ROUND(SUMIFS($F$6:$F$85,$B$6:$B$85,B17)-SUMIFS($G$6:$G$85,$B$6:$B$85,B17),0)=0,"OK","TIDAK SEIMBANG"))</f>
        <v/>
      </c>
      <c r="I17" s="27">
        <f>IF(C17="","",IFERROR(INDEX(COA!$C$6:$C$35,MATCH(C17,COA!$A$6:$A$35,0)),""))</f>
        <v/>
      </c>
      <c r="J17" s="27">
        <f>IF(C17="","",IFERROR(INDEX(COA!$E$6:$E$35,MATCH(C17,COA!$A$6:$A$35,0)),""))</f>
        <v/>
      </c>
    </row>
    <row r="18">
      <c r="A18" s="26" t="n">
        <v>46034</v>
      </c>
      <c r="B18" s="22" t="inlineStr">
        <is>
          <t>JU-2026-005</t>
        </is>
      </c>
      <c r="C18" s="21" t="n">
        <v>1102</v>
      </c>
      <c r="D18" s="27">
        <f>IF(C18="","",IFERROR(INDEX(COA!$B$6:$B$35,MATCH(C18,COA!$A$6:$A$35,0)),"AKUN TIDAK ADA"))</f>
        <v/>
      </c>
      <c r="E18" s="22" t="inlineStr">
        <is>
          <t>Penerimaan piutang</t>
        </is>
      </c>
      <c r="F18" s="28" t="n">
        <v>102400000</v>
      </c>
      <c r="G18" s="28" t="n"/>
      <c r="H18" s="29">
        <f>IF(B18="","",IF(ROUND(SUMIFS($F$6:$F$85,$B$6:$B$85,B18)-SUMIFS($G$6:$G$85,$B$6:$B$85,B18),0)=0,"OK","TIDAK SEIMBANG"))</f>
        <v/>
      </c>
      <c r="I18" s="27">
        <f>IF(C18="","",IFERROR(INDEX(COA!$C$6:$C$35,MATCH(C18,COA!$A$6:$A$35,0)),""))</f>
        <v/>
      </c>
      <c r="J18" s="27">
        <f>IF(C18="","",IFERROR(INDEX(COA!$E$6:$E$35,MATCH(C18,COA!$A$6:$A$35,0)),""))</f>
        <v/>
      </c>
    </row>
    <row r="19">
      <c r="A19" s="26" t="n">
        <v>46034</v>
      </c>
      <c r="B19" s="22" t="inlineStr">
        <is>
          <t>JU-2026-005</t>
        </is>
      </c>
      <c r="C19" s="21" t="n">
        <v>1201</v>
      </c>
      <c r="D19" s="27">
        <f>IF(C19="","",IFERROR(INDEX(COA!$B$6:$B$35,MATCH(C19,COA!$A$6:$A$35,0)),"AKUN TIDAK ADA"))</f>
        <v/>
      </c>
      <c r="E19" s="22" t="inlineStr">
        <is>
          <t>Penerimaan piutang</t>
        </is>
      </c>
      <c r="F19" s="28" t="n"/>
      <c r="G19" s="28" t="n">
        <v>102400000</v>
      </c>
      <c r="H19" s="29">
        <f>IF(B19="","",IF(ROUND(SUMIFS($F$6:$F$85,$B$6:$B$85,B19)-SUMIFS($G$6:$G$85,$B$6:$B$85,B19),0)=0,"OK","TIDAK SEIMBANG"))</f>
        <v/>
      </c>
      <c r="I19" s="27">
        <f>IF(C19="","",IFERROR(INDEX(COA!$C$6:$C$35,MATCH(C19,COA!$A$6:$A$35,0)),""))</f>
        <v/>
      </c>
      <c r="J19" s="27">
        <f>IF(C19="","",IFERROR(INDEX(COA!$E$6:$E$35,MATCH(C19,COA!$A$6:$A$35,0)),""))</f>
        <v/>
      </c>
    </row>
    <row r="20">
      <c r="A20" s="26" t="n">
        <v>46036</v>
      </c>
      <c r="B20" s="22" t="inlineStr">
        <is>
          <t>JU-2026-006</t>
        </is>
      </c>
      <c r="C20" s="21" t="n">
        <v>2101</v>
      </c>
      <c r="D20" s="27">
        <f>IF(C20="","",IFERROR(INDEX(COA!$B$6:$B$35,MATCH(C20,COA!$A$6:$A$35,0)),"AKUN TIDAK ADA"))</f>
        <v/>
      </c>
      <c r="E20" s="22" t="inlineStr">
        <is>
          <t>Pembayaran utang usaha</t>
        </is>
      </c>
      <c r="F20" s="28" t="n">
        <v>73950000</v>
      </c>
      <c r="G20" s="28" t="n"/>
      <c r="H20" s="29">
        <f>IF(B20="","",IF(ROUND(SUMIFS($F$6:$F$85,$B$6:$B$85,B20)-SUMIFS($G$6:$G$85,$B$6:$B$85,B20),0)=0,"OK","TIDAK SEIMBANG"))</f>
        <v/>
      </c>
      <c r="I20" s="27">
        <f>IF(C20="","",IFERROR(INDEX(COA!$C$6:$C$35,MATCH(C20,COA!$A$6:$A$35,0)),""))</f>
        <v/>
      </c>
      <c r="J20" s="27">
        <f>IF(C20="","",IFERROR(INDEX(COA!$E$6:$E$35,MATCH(C20,COA!$A$6:$A$35,0)),""))</f>
        <v/>
      </c>
    </row>
    <row r="21">
      <c r="A21" s="26" t="n">
        <v>46036</v>
      </c>
      <c r="B21" s="22" t="inlineStr">
        <is>
          <t>JU-2026-006</t>
        </is>
      </c>
      <c r="C21" s="21" t="n">
        <v>1102</v>
      </c>
      <c r="D21" s="27">
        <f>IF(C21="","",IFERROR(INDEX(COA!$B$6:$B$35,MATCH(C21,COA!$A$6:$A$35,0)),"AKUN TIDAK ADA"))</f>
        <v/>
      </c>
      <c r="E21" s="22" t="inlineStr">
        <is>
          <t>Pembayaran utang usaha</t>
        </is>
      </c>
      <c r="F21" s="28" t="n"/>
      <c r="G21" s="28" t="n">
        <v>73950000</v>
      </c>
      <c r="H21" s="29">
        <f>IF(B21="","",IF(ROUND(SUMIFS($F$6:$F$85,$B$6:$B$85,B21)-SUMIFS($G$6:$G$85,$B$6:$B$85,B21),0)=0,"OK","TIDAK SEIMBANG"))</f>
        <v/>
      </c>
      <c r="I21" s="27">
        <f>IF(C21="","",IFERROR(INDEX(COA!$C$6:$C$35,MATCH(C21,COA!$A$6:$A$35,0)),""))</f>
        <v/>
      </c>
      <c r="J21" s="27">
        <f>IF(C21="","",IFERROR(INDEX(COA!$E$6:$E$35,MATCH(C21,COA!$A$6:$A$35,0)),""))</f>
        <v/>
      </c>
    </row>
    <row r="22">
      <c r="A22" s="26" t="n">
        <v>46047</v>
      </c>
      <c r="B22" s="22" t="inlineStr">
        <is>
          <t>JU-2026-007</t>
        </is>
      </c>
      <c r="C22" s="21" t="n">
        <v>6101</v>
      </c>
      <c r="D22" s="27">
        <f>IF(C22="","",IFERROR(INDEX(COA!$B$6:$B$35,MATCH(C22,COA!$A$6:$A$35,0)),"AKUN TIDAK ADA"))</f>
        <v/>
      </c>
      <c r="E22" s="22" t="inlineStr">
        <is>
          <t>Gaji karyawan</t>
        </is>
      </c>
      <c r="F22" s="28" t="n">
        <v>18000000</v>
      </c>
      <c r="G22" s="28" t="n"/>
      <c r="H22" s="29">
        <f>IF(B22="","",IF(ROUND(SUMIFS($F$6:$F$85,$B$6:$B$85,B22)-SUMIFS($G$6:$G$85,$B$6:$B$85,B22),0)=0,"OK","TIDAK SEIMBANG"))</f>
        <v/>
      </c>
      <c r="I22" s="27">
        <f>IF(C22="","",IFERROR(INDEX(COA!$C$6:$C$35,MATCH(C22,COA!$A$6:$A$35,0)),""))</f>
        <v/>
      </c>
      <c r="J22" s="27">
        <f>IF(C22="","",IFERROR(INDEX(COA!$E$6:$E$35,MATCH(C22,COA!$A$6:$A$35,0)),""))</f>
        <v/>
      </c>
    </row>
    <row r="23">
      <c r="A23" s="26" t="n">
        <v>46047</v>
      </c>
      <c r="B23" s="22" t="inlineStr">
        <is>
          <t>JU-2026-007</t>
        </is>
      </c>
      <c r="C23" s="21" t="n">
        <v>1102</v>
      </c>
      <c r="D23" s="27">
        <f>IF(C23="","",IFERROR(INDEX(COA!$B$6:$B$35,MATCH(C23,COA!$A$6:$A$35,0)),"AKUN TIDAK ADA"))</f>
        <v/>
      </c>
      <c r="E23" s="22" t="inlineStr">
        <is>
          <t>Gaji karyawan</t>
        </is>
      </c>
      <c r="F23" s="28" t="n"/>
      <c r="G23" s="28" t="n">
        <v>18000000</v>
      </c>
      <c r="H23" s="29">
        <f>IF(B23="","",IF(ROUND(SUMIFS($F$6:$F$85,$B$6:$B$85,B23)-SUMIFS($G$6:$G$85,$B$6:$B$85,B23),0)=0,"OK","TIDAK SEIMBANG"))</f>
        <v/>
      </c>
      <c r="I23" s="27">
        <f>IF(C23="","",IFERROR(INDEX(COA!$C$6:$C$35,MATCH(C23,COA!$A$6:$A$35,0)),""))</f>
        <v/>
      </c>
      <c r="J23" s="27">
        <f>IF(C23="","",IFERROR(INDEX(COA!$E$6:$E$35,MATCH(C23,COA!$A$6:$A$35,0)),""))</f>
        <v/>
      </c>
    </row>
    <row r="24">
      <c r="A24" s="26" t="n">
        <v>46024</v>
      </c>
      <c r="B24" s="22" t="inlineStr">
        <is>
          <t>JU-2026-008</t>
        </is>
      </c>
      <c r="C24" s="21" t="n">
        <v>6102</v>
      </c>
      <c r="D24" s="27">
        <f>IF(C24="","",IFERROR(INDEX(COA!$B$6:$B$35,MATCH(C24,COA!$A$6:$A$35,0)),"AKUN TIDAK ADA"))</f>
        <v/>
      </c>
      <c r="E24" s="22" t="inlineStr">
        <is>
          <t>Sewa kantor</t>
        </is>
      </c>
      <c r="F24" s="28" t="n">
        <v>5000000</v>
      </c>
      <c r="G24" s="28" t="n"/>
      <c r="H24" s="29">
        <f>IF(B24="","",IF(ROUND(SUMIFS($F$6:$F$85,$B$6:$B$85,B24)-SUMIFS($G$6:$G$85,$B$6:$B$85,B24),0)=0,"OK","TIDAK SEIMBANG"))</f>
        <v/>
      </c>
      <c r="I24" s="27">
        <f>IF(C24="","",IFERROR(INDEX(COA!$C$6:$C$35,MATCH(C24,COA!$A$6:$A$35,0)),""))</f>
        <v/>
      </c>
      <c r="J24" s="27">
        <f>IF(C24="","",IFERROR(INDEX(COA!$E$6:$E$35,MATCH(C24,COA!$A$6:$A$35,0)),""))</f>
        <v/>
      </c>
    </row>
    <row r="25">
      <c r="A25" s="26" t="n">
        <v>46024</v>
      </c>
      <c r="B25" s="22" t="inlineStr">
        <is>
          <t>JU-2026-008</t>
        </is>
      </c>
      <c r="C25" s="21" t="n">
        <v>1102</v>
      </c>
      <c r="D25" s="27">
        <f>IF(C25="","",IFERROR(INDEX(COA!$B$6:$B$35,MATCH(C25,COA!$A$6:$A$35,0)),"AKUN TIDAK ADA"))</f>
        <v/>
      </c>
      <c r="E25" s="22" t="inlineStr">
        <is>
          <t>Sewa kantor</t>
        </is>
      </c>
      <c r="F25" s="28" t="n"/>
      <c r="G25" s="28" t="n">
        <v>5000000</v>
      </c>
      <c r="H25" s="29">
        <f>IF(B25="","",IF(ROUND(SUMIFS($F$6:$F$85,$B$6:$B$85,B25)-SUMIFS($G$6:$G$85,$B$6:$B$85,B25),0)=0,"OK","TIDAK SEIMBANG"))</f>
        <v/>
      </c>
      <c r="I25" s="27">
        <f>IF(C25="","",IFERROR(INDEX(COA!$C$6:$C$35,MATCH(C25,COA!$A$6:$A$35,0)),""))</f>
        <v/>
      </c>
      <c r="J25" s="27">
        <f>IF(C25="","",IFERROR(INDEX(COA!$E$6:$E$35,MATCH(C25,COA!$A$6:$A$35,0)),""))</f>
        <v/>
      </c>
    </row>
    <row r="26">
      <c r="A26" s="26" t="n">
        <v>46042</v>
      </c>
      <c r="B26" s="22" t="inlineStr">
        <is>
          <t>JU-2026-009</t>
        </is>
      </c>
      <c r="C26" s="21" t="n">
        <v>6103</v>
      </c>
      <c r="D26" s="27">
        <f>IF(C26="","",IFERROR(INDEX(COA!$B$6:$B$35,MATCH(C26,COA!$A$6:$A$35,0)),"AKUN TIDAK ADA"))</f>
        <v/>
      </c>
      <c r="E26" s="22" t="inlineStr">
        <is>
          <t>Listrik &amp; air</t>
        </is>
      </c>
      <c r="F26" s="28" t="n">
        <v>1800000</v>
      </c>
      <c r="G26" s="28" t="n"/>
      <c r="H26" s="29">
        <f>IF(B26="","",IF(ROUND(SUMIFS($F$6:$F$85,$B$6:$B$85,B26)-SUMIFS($G$6:$G$85,$B$6:$B$85,B26),0)=0,"OK","TIDAK SEIMBANG"))</f>
        <v/>
      </c>
      <c r="I26" s="27">
        <f>IF(C26="","",IFERROR(INDEX(COA!$C$6:$C$35,MATCH(C26,COA!$A$6:$A$35,0)),""))</f>
        <v/>
      </c>
      <c r="J26" s="27">
        <f>IF(C26="","",IFERROR(INDEX(COA!$E$6:$E$35,MATCH(C26,COA!$A$6:$A$35,0)),""))</f>
        <v/>
      </c>
    </row>
    <row r="27">
      <c r="A27" s="26" t="n">
        <v>46042</v>
      </c>
      <c r="B27" s="22" t="inlineStr">
        <is>
          <t>JU-2026-009</t>
        </is>
      </c>
      <c r="C27" s="21" t="n">
        <v>1101</v>
      </c>
      <c r="D27" s="27">
        <f>IF(C27="","",IFERROR(INDEX(COA!$B$6:$B$35,MATCH(C27,COA!$A$6:$A$35,0)),"AKUN TIDAK ADA"))</f>
        <v/>
      </c>
      <c r="E27" s="22" t="inlineStr">
        <is>
          <t>Listrik &amp; air</t>
        </is>
      </c>
      <c r="F27" s="28" t="n"/>
      <c r="G27" s="28" t="n">
        <v>1800000</v>
      </c>
      <c r="H27" s="29">
        <f>IF(B27="","",IF(ROUND(SUMIFS($F$6:$F$85,$B$6:$B$85,B27)-SUMIFS($G$6:$G$85,$B$6:$B$85,B27),0)=0,"OK","TIDAK SEIMBANG"))</f>
        <v/>
      </c>
      <c r="I27" s="27">
        <f>IF(C27="","",IFERROR(INDEX(COA!$C$6:$C$35,MATCH(C27,COA!$A$6:$A$35,0)),""))</f>
        <v/>
      </c>
      <c r="J27" s="27">
        <f>IF(C27="","",IFERROR(INDEX(COA!$E$6:$E$35,MATCH(C27,COA!$A$6:$A$35,0)),""))</f>
        <v/>
      </c>
    </row>
    <row r="28">
      <c r="A28" s="26" t="n">
        <v>46040</v>
      </c>
      <c r="B28" s="22" t="inlineStr">
        <is>
          <t>JU-2026-010</t>
        </is>
      </c>
      <c r="C28" s="21" t="n">
        <v>6104</v>
      </c>
      <c r="D28" s="27">
        <f>IF(C28="","",IFERROR(INDEX(COA!$B$6:$B$35,MATCH(C28,COA!$A$6:$A$35,0)),"AKUN TIDAK ADA"))</f>
        <v/>
      </c>
      <c r="E28" s="22" t="inlineStr">
        <is>
          <t>Biaya pemasaran</t>
        </is>
      </c>
      <c r="F28" s="28" t="n">
        <v>5600000</v>
      </c>
      <c r="G28" s="28" t="n"/>
      <c r="H28" s="29">
        <f>IF(B28="","",IF(ROUND(SUMIFS($F$6:$F$85,$B$6:$B$85,B28)-SUMIFS($G$6:$G$85,$B$6:$B$85,B28),0)=0,"OK","TIDAK SEIMBANG"))</f>
        <v/>
      </c>
      <c r="I28" s="27">
        <f>IF(C28="","",IFERROR(INDEX(COA!$C$6:$C$35,MATCH(C28,COA!$A$6:$A$35,0)),""))</f>
        <v/>
      </c>
      <c r="J28" s="27">
        <f>IF(C28="","",IFERROR(INDEX(COA!$E$6:$E$35,MATCH(C28,COA!$A$6:$A$35,0)),""))</f>
        <v/>
      </c>
    </row>
    <row r="29">
      <c r="A29" s="26" t="n">
        <v>46040</v>
      </c>
      <c r="B29" s="22" t="inlineStr">
        <is>
          <t>JU-2026-010</t>
        </is>
      </c>
      <c r="C29" s="21" t="n">
        <v>1102</v>
      </c>
      <c r="D29" s="27">
        <f>IF(C29="","",IFERROR(INDEX(COA!$B$6:$B$35,MATCH(C29,COA!$A$6:$A$35,0)),"AKUN TIDAK ADA"))</f>
        <v/>
      </c>
      <c r="E29" s="22" t="inlineStr">
        <is>
          <t>Biaya pemasaran</t>
        </is>
      </c>
      <c r="F29" s="28" t="n"/>
      <c r="G29" s="28" t="n">
        <v>5600000</v>
      </c>
      <c r="H29" s="29">
        <f>IF(B29="","",IF(ROUND(SUMIFS($F$6:$F$85,$B$6:$B$85,B29)-SUMIFS($G$6:$G$85,$B$6:$B$85,B29),0)=0,"OK","TIDAK SEIMBANG"))</f>
        <v/>
      </c>
      <c r="I29" s="27">
        <f>IF(C29="","",IFERROR(INDEX(COA!$C$6:$C$35,MATCH(C29,COA!$A$6:$A$35,0)),""))</f>
        <v/>
      </c>
      <c r="J29" s="27">
        <f>IF(C29="","",IFERROR(INDEX(COA!$E$6:$E$35,MATCH(C29,COA!$A$6:$A$35,0)),""))</f>
        <v/>
      </c>
    </row>
    <row r="30">
      <c r="A30" s="26" t="n">
        <v>46044</v>
      </c>
      <c r="B30" s="22" t="inlineStr">
        <is>
          <t>JU-2026-011</t>
        </is>
      </c>
      <c r="C30" s="21" t="n">
        <v>6106</v>
      </c>
      <c r="D30" s="27">
        <f>IF(C30="","",IFERROR(INDEX(COA!$B$6:$B$35,MATCH(C30,COA!$A$6:$A$35,0)),"AKUN TIDAK ADA"))</f>
        <v/>
      </c>
      <c r="E30" s="22" t="inlineStr">
        <is>
          <t>Administrasi &amp; umum</t>
        </is>
      </c>
      <c r="F30" s="28" t="n">
        <v>1700000</v>
      </c>
      <c r="G30" s="28" t="n"/>
      <c r="H30" s="29">
        <f>IF(B30="","",IF(ROUND(SUMIFS($F$6:$F$85,$B$6:$B$85,B30)-SUMIFS($G$6:$G$85,$B$6:$B$85,B30),0)=0,"OK","TIDAK SEIMBANG"))</f>
        <v/>
      </c>
      <c r="I30" s="27">
        <f>IF(C30="","",IFERROR(INDEX(COA!$C$6:$C$35,MATCH(C30,COA!$A$6:$A$35,0)),""))</f>
        <v/>
      </c>
      <c r="J30" s="27">
        <f>IF(C30="","",IFERROR(INDEX(COA!$E$6:$E$35,MATCH(C30,COA!$A$6:$A$35,0)),""))</f>
        <v/>
      </c>
    </row>
    <row r="31">
      <c r="A31" s="26" t="n">
        <v>46044</v>
      </c>
      <c r="B31" s="22" t="inlineStr">
        <is>
          <t>JU-2026-011</t>
        </is>
      </c>
      <c r="C31" s="21" t="n">
        <v>1101</v>
      </c>
      <c r="D31" s="27">
        <f>IF(C31="","",IFERROR(INDEX(COA!$B$6:$B$35,MATCH(C31,COA!$A$6:$A$35,0)),"AKUN TIDAK ADA"))</f>
        <v/>
      </c>
      <c r="E31" s="22" t="inlineStr">
        <is>
          <t>Administrasi &amp; umum</t>
        </is>
      </c>
      <c r="F31" s="28" t="n"/>
      <c r="G31" s="28" t="n">
        <v>1700000</v>
      </c>
      <c r="H31" s="29">
        <f>IF(B31="","",IF(ROUND(SUMIFS($F$6:$F$85,$B$6:$B$85,B31)-SUMIFS($G$6:$G$85,$B$6:$B$85,B31),0)=0,"OK","TIDAK SEIMBANG"))</f>
        <v/>
      </c>
      <c r="I31" s="27">
        <f>IF(C31="","",IFERROR(INDEX(COA!$C$6:$C$35,MATCH(C31,COA!$A$6:$A$35,0)),""))</f>
        <v/>
      </c>
      <c r="J31" s="27">
        <f>IF(C31="","",IFERROR(INDEX(COA!$E$6:$E$35,MATCH(C31,COA!$A$6:$A$35,0)),""))</f>
        <v/>
      </c>
    </row>
    <row r="32">
      <c r="A32" s="26" t="n">
        <v>46049</v>
      </c>
      <c r="B32" s="22" t="inlineStr">
        <is>
          <t>JU-2026-012</t>
        </is>
      </c>
      <c r="C32" s="21" t="n">
        <v>7201</v>
      </c>
      <c r="D32" s="27">
        <f>IF(C32="","",IFERROR(INDEX(COA!$B$6:$B$35,MATCH(C32,COA!$A$6:$A$35,0)),"AKUN TIDAK ADA"))</f>
        <v/>
      </c>
      <c r="E32" s="22" t="inlineStr">
        <is>
          <t>Cicilan bank (bunga)</t>
        </is>
      </c>
      <c r="F32" s="28" t="n">
        <v>900000</v>
      </c>
      <c r="G32" s="28" t="n"/>
      <c r="H32" s="29">
        <f>IF(B32="","",IF(ROUND(SUMIFS($F$6:$F$85,$B$6:$B$85,B32)-SUMIFS($G$6:$G$85,$B$6:$B$85,B32),0)=0,"OK","TIDAK SEIMBANG"))</f>
        <v/>
      </c>
      <c r="I32" s="27">
        <f>IF(C32="","",IFERROR(INDEX(COA!$C$6:$C$35,MATCH(C32,COA!$A$6:$A$35,0)),""))</f>
        <v/>
      </c>
      <c r="J32" s="27">
        <f>IF(C32="","",IFERROR(INDEX(COA!$E$6:$E$35,MATCH(C32,COA!$A$6:$A$35,0)),""))</f>
        <v/>
      </c>
    </row>
    <row r="33">
      <c r="A33" s="26" t="n">
        <v>46049</v>
      </c>
      <c r="B33" s="22" t="inlineStr">
        <is>
          <t>JU-2026-012</t>
        </is>
      </c>
      <c r="C33" s="21" t="n">
        <v>1102</v>
      </c>
      <c r="D33" s="27">
        <f>IF(C33="","",IFERROR(INDEX(COA!$B$6:$B$35,MATCH(C33,COA!$A$6:$A$35,0)),"AKUN TIDAK ADA"))</f>
        <v/>
      </c>
      <c r="E33" s="22" t="inlineStr">
        <is>
          <t>Cicilan bank (bunga)</t>
        </is>
      </c>
      <c r="F33" s="28" t="n"/>
      <c r="G33" s="28" t="n">
        <v>900000</v>
      </c>
      <c r="H33" s="29">
        <f>IF(B33="","",IF(ROUND(SUMIFS($F$6:$F$85,$B$6:$B$85,B33)-SUMIFS($G$6:$G$85,$B$6:$B$85,B33),0)=0,"OK","TIDAK SEIMBANG"))</f>
        <v/>
      </c>
      <c r="I33" s="27">
        <f>IF(C33="","",IFERROR(INDEX(COA!$C$6:$C$35,MATCH(C33,COA!$A$6:$A$35,0)),""))</f>
        <v/>
      </c>
      <c r="J33" s="27">
        <f>IF(C33="","",IFERROR(INDEX(COA!$E$6:$E$35,MATCH(C33,COA!$A$6:$A$35,0)),""))</f>
        <v/>
      </c>
    </row>
    <row r="34">
      <c r="A34" s="26" t="n">
        <v>46049</v>
      </c>
      <c r="B34" s="22" t="inlineStr">
        <is>
          <t>JU-2026-013</t>
        </is>
      </c>
      <c r="C34" s="21" t="n">
        <v>2201</v>
      </c>
      <c r="D34" s="27">
        <f>IF(C34="","",IFERROR(INDEX(COA!$B$6:$B$35,MATCH(C34,COA!$A$6:$A$35,0)),"AKUN TIDAK ADA"))</f>
        <v/>
      </c>
      <c r="E34" s="22" t="inlineStr">
        <is>
          <t>Cicilan bank (pokok)</t>
        </is>
      </c>
      <c r="F34" s="28" t="n">
        <v>1500000</v>
      </c>
      <c r="G34" s="28" t="n"/>
      <c r="H34" s="29">
        <f>IF(B34="","",IF(ROUND(SUMIFS($F$6:$F$85,$B$6:$B$85,B34)-SUMIFS($G$6:$G$85,$B$6:$B$85,B34),0)=0,"OK","TIDAK SEIMBANG"))</f>
        <v/>
      </c>
      <c r="I34" s="27">
        <f>IF(C34="","",IFERROR(INDEX(COA!$C$6:$C$35,MATCH(C34,COA!$A$6:$A$35,0)),""))</f>
        <v/>
      </c>
      <c r="J34" s="27">
        <f>IF(C34="","",IFERROR(INDEX(COA!$E$6:$E$35,MATCH(C34,COA!$A$6:$A$35,0)),""))</f>
        <v/>
      </c>
    </row>
    <row r="35">
      <c r="A35" s="26" t="n">
        <v>46049</v>
      </c>
      <c r="B35" s="22" t="inlineStr">
        <is>
          <t>JU-2026-013</t>
        </is>
      </c>
      <c r="C35" s="21" t="n">
        <v>1102</v>
      </c>
      <c r="D35" s="27">
        <f>IF(C35="","",IFERROR(INDEX(COA!$B$6:$B$35,MATCH(C35,COA!$A$6:$A$35,0)),"AKUN TIDAK ADA"))</f>
        <v/>
      </c>
      <c r="E35" s="22" t="inlineStr">
        <is>
          <t>Cicilan bank (pokok)</t>
        </is>
      </c>
      <c r="F35" s="28" t="n"/>
      <c r="G35" s="28" t="n">
        <v>1500000</v>
      </c>
      <c r="H35" s="29">
        <f>IF(B35="","",IF(ROUND(SUMIFS($F$6:$F$85,$B$6:$B$85,B35)-SUMIFS($G$6:$G$85,$B$6:$B$85,B35),0)=0,"OK","TIDAK SEIMBANG"))</f>
        <v/>
      </c>
      <c r="I35" s="27">
        <f>IF(C35="","",IFERROR(INDEX(COA!$C$6:$C$35,MATCH(C35,COA!$A$6:$A$35,0)),""))</f>
        <v/>
      </c>
      <c r="J35" s="27">
        <f>IF(C35="","",IFERROR(INDEX(COA!$E$6:$E$35,MATCH(C35,COA!$A$6:$A$35,0)),""))</f>
        <v/>
      </c>
    </row>
    <row r="36">
      <c r="A36" s="26" t="n">
        <v>46050</v>
      </c>
      <c r="B36" s="22" t="inlineStr">
        <is>
          <t>JU-2026-014</t>
        </is>
      </c>
      <c r="C36" s="21" t="n">
        <v>6105</v>
      </c>
      <c r="D36" s="27">
        <f>IF(C36="","",IFERROR(INDEX(COA!$B$6:$B$35,MATCH(C36,COA!$A$6:$A$35,0)),"AKUN TIDAK ADA"))</f>
        <v/>
      </c>
      <c r="E36" s="22" t="inlineStr">
        <is>
          <t>Penyusutan peralatan</t>
        </is>
      </c>
      <c r="F36" s="28" t="n">
        <v>1000000</v>
      </c>
      <c r="G36" s="28" t="n"/>
      <c r="H36" s="29">
        <f>IF(B36="","",IF(ROUND(SUMIFS($F$6:$F$85,$B$6:$B$85,B36)-SUMIFS($G$6:$G$85,$B$6:$B$85,B36),0)=0,"OK","TIDAK SEIMBANG"))</f>
        <v/>
      </c>
      <c r="I36" s="27">
        <f>IF(C36="","",IFERROR(INDEX(COA!$C$6:$C$35,MATCH(C36,COA!$A$6:$A$35,0)),""))</f>
        <v/>
      </c>
      <c r="J36" s="27">
        <f>IF(C36="","",IFERROR(INDEX(COA!$E$6:$E$35,MATCH(C36,COA!$A$6:$A$35,0)),""))</f>
        <v/>
      </c>
    </row>
    <row r="37">
      <c r="A37" s="26" t="n">
        <v>46050</v>
      </c>
      <c r="B37" s="22" t="inlineStr">
        <is>
          <t>JU-2026-014</t>
        </is>
      </c>
      <c r="C37" s="21" t="n">
        <v>1502</v>
      </c>
      <c r="D37" s="27">
        <f>IF(C37="","",IFERROR(INDEX(COA!$B$6:$B$35,MATCH(C37,COA!$A$6:$A$35,0)),"AKUN TIDAK ADA"))</f>
        <v/>
      </c>
      <c r="E37" s="22" t="inlineStr">
        <is>
          <t>Penyusutan peralatan</t>
        </is>
      </c>
      <c r="F37" s="28" t="n"/>
      <c r="G37" s="28" t="n">
        <v>1000000</v>
      </c>
      <c r="H37" s="29">
        <f>IF(B37="","",IF(ROUND(SUMIFS($F$6:$F$85,$B$6:$B$85,B37)-SUMIFS($G$6:$G$85,$B$6:$B$85,B37),0)=0,"OK","TIDAK SEIMBANG"))</f>
        <v/>
      </c>
      <c r="I37" s="27">
        <f>IF(C37="","",IFERROR(INDEX(COA!$C$6:$C$35,MATCH(C37,COA!$A$6:$A$35,0)),""))</f>
        <v/>
      </c>
      <c r="J37" s="27">
        <f>IF(C37="","",IFERROR(INDEX(COA!$E$6:$E$35,MATCH(C37,COA!$A$6:$A$35,0)),""))</f>
        <v/>
      </c>
    </row>
    <row r="38">
      <c r="A38" s="26" t="n">
        <v>46050</v>
      </c>
      <c r="B38" s="22" t="inlineStr">
        <is>
          <t>JU-2026-015</t>
        </is>
      </c>
      <c r="C38" s="21" t="n">
        <v>1102</v>
      </c>
      <c r="D38" s="27">
        <f>IF(C38="","",IFERROR(INDEX(COA!$B$6:$B$35,MATCH(C38,COA!$A$6:$A$35,0)),"AKUN TIDAK ADA"))</f>
        <v/>
      </c>
      <c r="E38" s="22" t="inlineStr">
        <is>
          <t>Bunga bank</t>
        </is>
      </c>
      <c r="F38" s="28" t="n">
        <v>200000</v>
      </c>
      <c r="G38" s="28" t="n"/>
      <c r="H38" s="29">
        <f>IF(B38="","",IF(ROUND(SUMIFS($F$6:$F$85,$B$6:$B$85,B38)-SUMIFS($G$6:$G$85,$B$6:$B$85,B38),0)=0,"OK","TIDAK SEIMBANG"))</f>
        <v/>
      </c>
      <c r="I38" s="27">
        <f>IF(C38="","",IFERROR(INDEX(COA!$C$6:$C$35,MATCH(C38,COA!$A$6:$A$35,0)),""))</f>
        <v/>
      </c>
      <c r="J38" s="27">
        <f>IF(C38="","",IFERROR(INDEX(COA!$E$6:$E$35,MATCH(C38,COA!$A$6:$A$35,0)),""))</f>
        <v/>
      </c>
    </row>
    <row r="39">
      <c r="A39" s="26" t="n">
        <v>46050</v>
      </c>
      <c r="B39" s="22" t="inlineStr">
        <is>
          <t>JU-2026-015</t>
        </is>
      </c>
      <c r="C39" s="21" t="n">
        <v>7101</v>
      </c>
      <c r="D39" s="27">
        <f>IF(C39="","",IFERROR(INDEX(COA!$B$6:$B$35,MATCH(C39,COA!$A$6:$A$35,0)),"AKUN TIDAK ADA"))</f>
        <v/>
      </c>
      <c r="E39" s="22" t="inlineStr">
        <is>
          <t>Bunga bank</t>
        </is>
      </c>
      <c r="F39" s="28" t="n"/>
      <c r="G39" s="28" t="n">
        <v>200000</v>
      </c>
      <c r="H39" s="29">
        <f>IF(B39="","",IF(ROUND(SUMIFS($F$6:$F$85,$B$6:$B$85,B39)-SUMIFS($G$6:$G$85,$B$6:$B$85,B39),0)=0,"OK","TIDAK SEIMBANG"))</f>
        <v/>
      </c>
      <c r="I39" s="27">
        <f>IF(C39="","",IFERROR(INDEX(COA!$C$6:$C$35,MATCH(C39,COA!$A$6:$A$35,0)),""))</f>
        <v/>
      </c>
      <c r="J39" s="27">
        <f>IF(C39="","",IFERROR(INDEX(COA!$E$6:$E$35,MATCH(C39,COA!$A$6:$A$35,0)),""))</f>
        <v/>
      </c>
    </row>
    <row r="40">
      <c r="A40" s="26" t="n">
        <v>46030</v>
      </c>
      <c r="B40" s="22" t="inlineStr">
        <is>
          <t>JU-2026-016</t>
        </is>
      </c>
      <c r="C40" s="21" t="n">
        <v>1101</v>
      </c>
      <c r="D40" s="27">
        <f>IF(C40="","",IFERROR(INDEX(COA!$B$6:$B$35,MATCH(C40,COA!$A$6:$A$35,0)),"AKUN TIDAK ADA"))</f>
        <v/>
      </c>
      <c r="E40" s="22" t="inlineStr">
        <is>
          <t>Penarikan kas dari bank</t>
        </is>
      </c>
      <c r="F40" s="28" t="n">
        <v>5000000</v>
      </c>
      <c r="G40" s="28" t="n"/>
      <c r="H40" s="29">
        <f>IF(B40="","",IF(ROUND(SUMIFS($F$6:$F$85,$B$6:$B$85,B40)-SUMIFS($G$6:$G$85,$B$6:$B$85,B40),0)=0,"OK","TIDAK SEIMBANG"))</f>
        <v/>
      </c>
      <c r="I40" s="27">
        <f>IF(C40="","",IFERROR(INDEX(COA!$C$6:$C$35,MATCH(C40,COA!$A$6:$A$35,0)),""))</f>
        <v/>
      </c>
      <c r="J40" s="27">
        <f>IF(C40="","",IFERROR(INDEX(COA!$E$6:$E$35,MATCH(C40,COA!$A$6:$A$35,0)),""))</f>
        <v/>
      </c>
    </row>
    <row r="41">
      <c r="A41" s="26" t="n">
        <v>46030</v>
      </c>
      <c r="B41" s="22" t="inlineStr">
        <is>
          <t>JU-2026-016</t>
        </is>
      </c>
      <c r="C41" s="21" t="n">
        <v>1102</v>
      </c>
      <c r="D41" s="27">
        <f>IF(C41="","",IFERROR(INDEX(COA!$B$6:$B$35,MATCH(C41,COA!$A$6:$A$35,0)),"AKUN TIDAK ADA"))</f>
        <v/>
      </c>
      <c r="E41" s="22" t="inlineStr">
        <is>
          <t>Penarikan kas dari bank</t>
        </is>
      </c>
      <c r="F41" s="28" t="n"/>
      <c r="G41" s="28" t="n">
        <v>5000000</v>
      </c>
      <c r="H41" s="29">
        <f>IF(B41="","",IF(ROUND(SUMIFS($F$6:$F$85,$B$6:$B$85,B41)-SUMIFS($G$6:$G$85,$B$6:$B$85,B41),0)=0,"OK","TIDAK SEIMBANG"))</f>
        <v/>
      </c>
      <c r="I41" s="27">
        <f>IF(C41="","",IFERROR(INDEX(COA!$C$6:$C$35,MATCH(C41,COA!$A$6:$A$35,0)),""))</f>
        <v/>
      </c>
      <c r="J41" s="27">
        <f>IF(C41="","",IFERROR(INDEX(COA!$E$6:$E$35,MATCH(C41,COA!$A$6:$A$35,0)),""))</f>
        <v/>
      </c>
    </row>
    <row r="42">
      <c r="A42" s="26" t="n">
        <v>46056</v>
      </c>
      <c r="B42" s="22" t="inlineStr">
        <is>
          <t>JU-2026-017</t>
        </is>
      </c>
      <c r="C42" s="21" t="n">
        <v>1301</v>
      </c>
      <c r="D42" s="27">
        <f>IF(C42="","",IFERROR(INDEX(COA!$B$6:$B$35,MATCH(C42,COA!$A$6:$A$35,0)),"AKUN TIDAK ADA"))</f>
        <v/>
      </c>
      <c r="E42" s="22" t="inlineStr">
        <is>
          <t>Pembelian persediaan kredit</t>
        </is>
      </c>
      <c r="F42" s="28" t="n">
        <v>79000000</v>
      </c>
      <c r="G42" s="28" t="n"/>
      <c r="H42" s="29">
        <f>IF(B42="","",IF(ROUND(SUMIFS($F$6:$F$85,$B$6:$B$85,B42)-SUMIFS($G$6:$G$85,$B$6:$B$85,B42),0)=0,"OK","TIDAK SEIMBANG"))</f>
        <v/>
      </c>
      <c r="I42" s="27">
        <f>IF(C42="","",IFERROR(INDEX(COA!$C$6:$C$35,MATCH(C42,COA!$A$6:$A$35,0)),""))</f>
        <v/>
      </c>
      <c r="J42" s="27">
        <f>IF(C42="","",IFERROR(INDEX(COA!$E$6:$E$35,MATCH(C42,COA!$A$6:$A$35,0)),""))</f>
        <v/>
      </c>
    </row>
    <row r="43">
      <c r="A43" s="26" t="n">
        <v>46056</v>
      </c>
      <c r="B43" s="22" t="inlineStr">
        <is>
          <t>JU-2026-017</t>
        </is>
      </c>
      <c r="C43" s="21" t="n">
        <v>2101</v>
      </c>
      <c r="D43" s="27">
        <f>IF(C43="","",IFERROR(INDEX(COA!$B$6:$B$35,MATCH(C43,COA!$A$6:$A$35,0)),"AKUN TIDAK ADA"))</f>
        <v/>
      </c>
      <c r="E43" s="22" t="inlineStr">
        <is>
          <t>Pembelian persediaan kredit</t>
        </is>
      </c>
      <c r="F43" s="28" t="n"/>
      <c r="G43" s="28" t="n">
        <v>79000000</v>
      </c>
      <c r="H43" s="29">
        <f>IF(B43="","",IF(ROUND(SUMIFS($F$6:$F$85,$B$6:$B$85,B43)-SUMIFS($G$6:$G$85,$B$6:$B$85,B43),0)=0,"OK","TIDAK SEIMBANG"))</f>
        <v/>
      </c>
      <c r="I43" s="27">
        <f>IF(C43="","",IFERROR(INDEX(COA!$C$6:$C$35,MATCH(C43,COA!$A$6:$A$35,0)),""))</f>
        <v/>
      </c>
      <c r="J43" s="27">
        <f>IF(C43="","",IFERROR(INDEX(COA!$E$6:$E$35,MATCH(C43,COA!$A$6:$A$35,0)),""))</f>
        <v/>
      </c>
    </row>
    <row r="44">
      <c r="A44" s="26" t="n">
        <v>46059</v>
      </c>
      <c r="B44" s="22" t="inlineStr">
        <is>
          <t>JU-2026-018</t>
        </is>
      </c>
      <c r="C44" s="21" t="n">
        <v>1201</v>
      </c>
      <c r="D44" s="27">
        <f>IF(C44="","",IFERROR(INDEX(COA!$B$6:$B$35,MATCH(C44,COA!$A$6:$A$35,0)),"AKUN TIDAK ADA"))</f>
        <v/>
      </c>
      <c r="E44" s="22" t="inlineStr">
        <is>
          <t>Penjualan kredit</t>
        </is>
      </c>
      <c r="F44" s="28" t="n">
        <v>134000000</v>
      </c>
      <c r="G44" s="28" t="n"/>
      <c r="H44" s="29">
        <f>IF(B44="","",IF(ROUND(SUMIFS($F$6:$F$85,$B$6:$B$85,B44)-SUMIFS($G$6:$G$85,$B$6:$B$85,B44),0)=0,"OK","TIDAK SEIMBANG"))</f>
        <v/>
      </c>
      <c r="I44" s="27">
        <f>IF(C44="","",IFERROR(INDEX(COA!$C$6:$C$35,MATCH(C44,COA!$A$6:$A$35,0)),""))</f>
        <v/>
      </c>
      <c r="J44" s="27">
        <f>IF(C44="","",IFERROR(INDEX(COA!$E$6:$E$35,MATCH(C44,COA!$A$6:$A$35,0)),""))</f>
        <v/>
      </c>
    </row>
    <row r="45">
      <c r="A45" s="26" t="n">
        <v>46059</v>
      </c>
      <c r="B45" s="22" t="inlineStr">
        <is>
          <t>JU-2026-018</t>
        </is>
      </c>
      <c r="C45" s="21" t="n">
        <v>4101</v>
      </c>
      <c r="D45" s="27">
        <f>IF(C45="","",IFERROR(INDEX(COA!$B$6:$B$35,MATCH(C45,COA!$A$6:$A$35,0)),"AKUN TIDAK ADA"))</f>
        <v/>
      </c>
      <c r="E45" s="22" t="inlineStr">
        <is>
          <t>Penjualan kredit</t>
        </is>
      </c>
      <c r="F45" s="28" t="n"/>
      <c r="G45" s="28" t="n">
        <v>134000000</v>
      </c>
      <c r="H45" s="29">
        <f>IF(B45="","",IF(ROUND(SUMIFS($F$6:$F$85,$B$6:$B$85,B45)-SUMIFS($G$6:$G$85,$B$6:$B$85,B45),0)=0,"OK","TIDAK SEIMBANG"))</f>
        <v/>
      </c>
      <c r="I45" s="27">
        <f>IF(C45="","",IFERROR(INDEX(COA!$C$6:$C$35,MATCH(C45,COA!$A$6:$A$35,0)),""))</f>
        <v/>
      </c>
      <c r="J45" s="27">
        <f>IF(C45="","",IFERROR(INDEX(COA!$E$6:$E$35,MATCH(C45,COA!$A$6:$A$35,0)),""))</f>
        <v/>
      </c>
    </row>
    <row r="46">
      <c r="A46" s="26" t="n">
        <v>46059</v>
      </c>
      <c r="B46" s="22" t="inlineStr">
        <is>
          <t>JU-2026-019</t>
        </is>
      </c>
      <c r="C46" s="21" t="n">
        <v>5101</v>
      </c>
      <c r="D46" s="27">
        <f>IF(C46="","",IFERROR(INDEX(COA!$B$6:$B$35,MATCH(C46,COA!$A$6:$A$35,0)),"AKUN TIDAK ADA"))</f>
        <v/>
      </c>
      <c r="E46" s="22" t="inlineStr">
        <is>
          <t>HPP penjualan</t>
        </is>
      </c>
      <c r="F46" s="28" t="n">
        <v>80400000</v>
      </c>
      <c r="G46" s="28" t="n"/>
      <c r="H46" s="29">
        <f>IF(B46="","",IF(ROUND(SUMIFS($F$6:$F$85,$B$6:$B$85,B46)-SUMIFS($G$6:$G$85,$B$6:$B$85,B46),0)=0,"OK","TIDAK SEIMBANG"))</f>
        <v/>
      </c>
      <c r="I46" s="27">
        <f>IF(C46="","",IFERROR(INDEX(COA!$C$6:$C$35,MATCH(C46,COA!$A$6:$A$35,0)),""))</f>
        <v/>
      </c>
      <c r="J46" s="27">
        <f>IF(C46="","",IFERROR(INDEX(COA!$E$6:$E$35,MATCH(C46,COA!$A$6:$A$35,0)),""))</f>
        <v/>
      </c>
    </row>
    <row r="47">
      <c r="A47" s="26" t="n">
        <v>46059</v>
      </c>
      <c r="B47" s="22" t="inlineStr">
        <is>
          <t>JU-2026-019</t>
        </is>
      </c>
      <c r="C47" s="21" t="n">
        <v>1301</v>
      </c>
      <c r="D47" s="27">
        <f>IF(C47="","",IFERROR(INDEX(COA!$B$6:$B$35,MATCH(C47,COA!$A$6:$A$35,0)),"AKUN TIDAK ADA"))</f>
        <v/>
      </c>
      <c r="E47" s="22" t="inlineStr">
        <is>
          <t>HPP penjualan</t>
        </is>
      </c>
      <c r="F47" s="28" t="n"/>
      <c r="G47" s="28" t="n">
        <v>80400000</v>
      </c>
      <c r="H47" s="29">
        <f>IF(B47="","",IF(ROUND(SUMIFS($F$6:$F$85,$B$6:$B$85,B47)-SUMIFS($G$6:$G$85,$B$6:$B$85,B47),0)=0,"OK","TIDAK SEIMBANG"))</f>
        <v/>
      </c>
      <c r="I47" s="27">
        <f>IF(C47="","",IFERROR(INDEX(COA!$C$6:$C$35,MATCH(C47,COA!$A$6:$A$35,0)),""))</f>
        <v/>
      </c>
      <c r="J47" s="27">
        <f>IF(C47="","",IFERROR(INDEX(COA!$E$6:$E$35,MATCH(C47,COA!$A$6:$A$35,0)),""))</f>
        <v/>
      </c>
    </row>
    <row r="48">
      <c r="A48" s="26" t="n">
        <v>46065</v>
      </c>
      <c r="B48" s="22" t="inlineStr">
        <is>
          <t>JU-2026-020</t>
        </is>
      </c>
      <c r="C48" s="21" t="n">
        <v>1102</v>
      </c>
      <c r="D48" s="27">
        <f>IF(C48="","",IFERROR(INDEX(COA!$B$6:$B$35,MATCH(C48,COA!$A$6:$A$35,0)),"AKUN TIDAK ADA"))</f>
        <v/>
      </c>
      <c r="E48" s="22" t="inlineStr">
        <is>
          <t>Penerimaan piutang</t>
        </is>
      </c>
      <c r="F48" s="28" t="n">
        <v>107200000</v>
      </c>
      <c r="G48" s="28" t="n"/>
      <c r="H48" s="29">
        <f>IF(B48="","",IF(ROUND(SUMIFS($F$6:$F$85,$B$6:$B$85,B48)-SUMIFS($G$6:$G$85,$B$6:$B$85,B48),0)=0,"OK","TIDAK SEIMBANG"))</f>
        <v/>
      </c>
      <c r="I48" s="27">
        <f>IF(C48="","",IFERROR(INDEX(COA!$C$6:$C$35,MATCH(C48,COA!$A$6:$A$35,0)),""))</f>
        <v/>
      </c>
      <c r="J48" s="27">
        <f>IF(C48="","",IFERROR(INDEX(COA!$E$6:$E$35,MATCH(C48,COA!$A$6:$A$35,0)),""))</f>
        <v/>
      </c>
    </row>
    <row r="49">
      <c r="A49" s="26" t="n">
        <v>46065</v>
      </c>
      <c r="B49" s="22" t="inlineStr">
        <is>
          <t>JU-2026-020</t>
        </is>
      </c>
      <c r="C49" s="21" t="n">
        <v>1201</v>
      </c>
      <c r="D49" s="27">
        <f>IF(C49="","",IFERROR(INDEX(COA!$B$6:$B$35,MATCH(C49,COA!$A$6:$A$35,0)),"AKUN TIDAK ADA"))</f>
        <v/>
      </c>
      <c r="E49" s="22" t="inlineStr">
        <is>
          <t>Penerimaan piutang</t>
        </is>
      </c>
      <c r="F49" s="28" t="n"/>
      <c r="G49" s="28" t="n">
        <v>107200000</v>
      </c>
      <c r="H49" s="29">
        <f>IF(B49="","",IF(ROUND(SUMIFS($F$6:$F$85,$B$6:$B$85,B49)-SUMIFS($G$6:$G$85,$B$6:$B$85,B49),0)=0,"OK","TIDAK SEIMBANG"))</f>
        <v/>
      </c>
      <c r="I49" s="27">
        <f>IF(C49="","",IFERROR(INDEX(COA!$C$6:$C$35,MATCH(C49,COA!$A$6:$A$35,0)),""))</f>
        <v/>
      </c>
      <c r="J49" s="27">
        <f>IF(C49="","",IFERROR(INDEX(COA!$E$6:$E$35,MATCH(C49,COA!$A$6:$A$35,0)),""))</f>
        <v/>
      </c>
    </row>
    <row r="50">
      <c r="A50" s="26" t="n">
        <v>46067</v>
      </c>
      <c r="B50" s="22" t="inlineStr">
        <is>
          <t>JU-2026-021</t>
        </is>
      </c>
      <c r="C50" s="21" t="n">
        <v>2101</v>
      </c>
      <c r="D50" s="27">
        <f>IF(C50="","",IFERROR(INDEX(COA!$B$6:$B$35,MATCH(C50,COA!$A$6:$A$35,0)),"AKUN TIDAK ADA"))</f>
        <v/>
      </c>
      <c r="E50" s="22" t="inlineStr">
        <is>
          <t>Pembayaran utang usaha</t>
        </is>
      </c>
      <c r="F50" s="28" t="n">
        <v>67150000</v>
      </c>
      <c r="G50" s="28" t="n"/>
      <c r="H50" s="29">
        <f>IF(B50="","",IF(ROUND(SUMIFS($F$6:$F$85,$B$6:$B$85,B50)-SUMIFS($G$6:$G$85,$B$6:$B$85,B50),0)=0,"OK","TIDAK SEIMBANG"))</f>
        <v/>
      </c>
      <c r="I50" s="27">
        <f>IF(C50="","",IFERROR(INDEX(COA!$C$6:$C$35,MATCH(C50,COA!$A$6:$A$35,0)),""))</f>
        <v/>
      </c>
      <c r="J50" s="27">
        <f>IF(C50="","",IFERROR(INDEX(COA!$E$6:$E$35,MATCH(C50,COA!$A$6:$A$35,0)),""))</f>
        <v/>
      </c>
    </row>
    <row r="51">
      <c r="A51" s="26" t="n">
        <v>46067</v>
      </c>
      <c r="B51" s="22" t="inlineStr">
        <is>
          <t>JU-2026-021</t>
        </is>
      </c>
      <c r="C51" s="21" t="n">
        <v>1102</v>
      </c>
      <c r="D51" s="27">
        <f>IF(C51="","",IFERROR(INDEX(COA!$B$6:$B$35,MATCH(C51,COA!$A$6:$A$35,0)),"AKUN TIDAK ADA"))</f>
        <v/>
      </c>
      <c r="E51" s="22" t="inlineStr">
        <is>
          <t>Pembayaran utang usaha</t>
        </is>
      </c>
      <c r="F51" s="28" t="n"/>
      <c r="G51" s="28" t="n">
        <v>67150000</v>
      </c>
      <c r="H51" s="29">
        <f>IF(B51="","",IF(ROUND(SUMIFS($F$6:$F$85,$B$6:$B$85,B51)-SUMIFS($G$6:$G$85,$B$6:$B$85,B51),0)=0,"OK","TIDAK SEIMBANG"))</f>
        <v/>
      </c>
      <c r="I51" s="27">
        <f>IF(C51="","",IFERROR(INDEX(COA!$C$6:$C$35,MATCH(C51,COA!$A$6:$A$35,0)),""))</f>
        <v/>
      </c>
      <c r="J51" s="27">
        <f>IF(C51="","",IFERROR(INDEX(COA!$E$6:$E$35,MATCH(C51,COA!$A$6:$A$35,0)),""))</f>
        <v/>
      </c>
    </row>
    <row r="52">
      <c r="A52" s="26" t="n">
        <v>46078</v>
      </c>
      <c r="B52" s="22" t="inlineStr">
        <is>
          <t>JU-2026-022</t>
        </is>
      </c>
      <c r="C52" s="21" t="n">
        <v>6101</v>
      </c>
      <c r="D52" s="27">
        <f>IF(C52="","",IFERROR(INDEX(COA!$B$6:$B$35,MATCH(C52,COA!$A$6:$A$35,0)),"AKUN TIDAK ADA"))</f>
        <v/>
      </c>
      <c r="E52" s="22" t="inlineStr">
        <is>
          <t>Gaji karyawan</t>
        </is>
      </c>
      <c r="F52" s="28" t="n">
        <v>18000000</v>
      </c>
      <c r="G52" s="28" t="n"/>
      <c r="H52" s="29">
        <f>IF(B52="","",IF(ROUND(SUMIFS($F$6:$F$85,$B$6:$B$85,B52)-SUMIFS($G$6:$G$85,$B$6:$B$85,B52),0)=0,"OK","TIDAK SEIMBANG"))</f>
        <v/>
      </c>
      <c r="I52" s="27">
        <f>IF(C52="","",IFERROR(INDEX(COA!$C$6:$C$35,MATCH(C52,COA!$A$6:$A$35,0)),""))</f>
        <v/>
      </c>
      <c r="J52" s="27">
        <f>IF(C52="","",IFERROR(INDEX(COA!$E$6:$E$35,MATCH(C52,COA!$A$6:$A$35,0)),""))</f>
        <v/>
      </c>
    </row>
    <row r="53">
      <c r="A53" s="26" t="n">
        <v>46078</v>
      </c>
      <c r="B53" s="22" t="inlineStr">
        <is>
          <t>JU-2026-022</t>
        </is>
      </c>
      <c r="C53" s="21" t="n">
        <v>1102</v>
      </c>
      <c r="D53" s="27">
        <f>IF(C53="","",IFERROR(INDEX(COA!$B$6:$B$35,MATCH(C53,COA!$A$6:$A$35,0)),"AKUN TIDAK ADA"))</f>
        <v/>
      </c>
      <c r="E53" s="22" t="inlineStr">
        <is>
          <t>Gaji karyawan</t>
        </is>
      </c>
      <c r="F53" s="28" t="n"/>
      <c r="G53" s="28" t="n">
        <v>18000000</v>
      </c>
      <c r="H53" s="29">
        <f>IF(B53="","",IF(ROUND(SUMIFS($F$6:$F$85,$B$6:$B$85,B53)-SUMIFS($G$6:$G$85,$B$6:$B$85,B53),0)=0,"OK","TIDAK SEIMBANG"))</f>
        <v/>
      </c>
      <c r="I53" s="27">
        <f>IF(C53="","",IFERROR(INDEX(COA!$C$6:$C$35,MATCH(C53,COA!$A$6:$A$35,0)),""))</f>
        <v/>
      </c>
      <c r="J53" s="27">
        <f>IF(C53="","",IFERROR(INDEX(COA!$E$6:$E$35,MATCH(C53,COA!$A$6:$A$35,0)),""))</f>
        <v/>
      </c>
    </row>
    <row r="54">
      <c r="A54" s="26" t="n">
        <v>46055</v>
      </c>
      <c r="B54" s="22" t="inlineStr">
        <is>
          <t>JU-2026-023</t>
        </is>
      </c>
      <c r="C54" s="21" t="n">
        <v>6102</v>
      </c>
      <c r="D54" s="27">
        <f>IF(C54="","",IFERROR(INDEX(COA!$B$6:$B$35,MATCH(C54,COA!$A$6:$A$35,0)),"AKUN TIDAK ADA"))</f>
        <v/>
      </c>
      <c r="E54" s="22" t="inlineStr">
        <is>
          <t>Sewa kantor</t>
        </is>
      </c>
      <c r="F54" s="28" t="n">
        <v>5000000</v>
      </c>
      <c r="G54" s="28" t="n"/>
      <c r="H54" s="29">
        <f>IF(B54="","",IF(ROUND(SUMIFS($F$6:$F$85,$B$6:$B$85,B54)-SUMIFS($G$6:$G$85,$B$6:$B$85,B54),0)=0,"OK","TIDAK SEIMBANG"))</f>
        <v/>
      </c>
      <c r="I54" s="27">
        <f>IF(C54="","",IFERROR(INDEX(COA!$C$6:$C$35,MATCH(C54,COA!$A$6:$A$35,0)),""))</f>
        <v/>
      </c>
      <c r="J54" s="27">
        <f>IF(C54="","",IFERROR(INDEX(COA!$E$6:$E$35,MATCH(C54,COA!$A$6:$A$35,0)),""))</f>
        <v/>
      </c>
    </row>
    <row r="55">
      <c r="A55" s="26" t="n">
        <v>46055</v>
      </c>
      <c r="B55" s="22" t="inlineStr">
        <is>
          <t>JU-2026-023</t>
        </is>
      </c>
      <c r="C55" s="21" t="n">
        <v>1102</v>
      </c>
      <c r="D55" s="27">
        <f>IF(C55="","",IFERROR(INDEX(COA!$B$6:$B$35,MATCH(C55,COA!$A$6:$A$35,0)),"AKUN TIDAK ADA"))</f>
        <v/>
      </c>
      <c r="E55" s="22" t="inlineStr">
        <is>
          <t>Sewa kantor</t>
        </is>
      </c>
      <c r="F55" s="28" t="n"/>
      <c r="G55" s="28" t="n">
        <v>5000000</v>
      </c>
      <c r="H55" s="29">
        <f>IF(B55="","",IF(ROUND(SUMIFS($F$6:$F$85,$B$6:$B$85,B55)-SUMIFS($G$6:$G$85,$B$6:$B$85,B55),0)=0,"OK","TIDAK SEIMBANG"))</f>
        <v/>
      </c>
      <c r="I55" s="27">
        <f>IF(C55="","",IFERROR(INDEX(COA!$C$6:$C$35,MATCH(C55,COA!$A$6:$A$35,0)),""))</f>
        <v/>
      </c>
      <c r="J55" s="27">
        <f>IF(C55="","",IFERROR(INDEX(COA!$E$6:$E$35,MATCH(C55,COA!$A$6:$A$35,0)),""))</f>
        <v/>
      </c>
    </row>
    <row r="56">
      <c r="A56" s="26" t="n">
        <v>46073</v>
      </c>
      <c r="B56" s="22" t="inlineStr">
        <is>
          <t>JU-2026-024</t>
        </is>
      </c>
      <c r="C56" s="21" t="n">
        <v>6103</v>
      </c>
      <c r="D56" s="27">
        <f>IF(C56="","",IFERROR(INDEX(COA!$B$6:$B$35,MATCH(C56,COA!$A$6:$A$35,0)),"AKUN TIDAK ADA"))</f>
        <v/>
      </c>
      <c r="E56" s="22" t="inlineStr">
        <is>
          <t>Listrik &amp; air</t>
        </is>
      </c>
      <c r="F56" s="28" t="n">
        <v>2100000</v>
      </c>
      <c r="G56" s="28" t="n"/>
      <c r="H56" s="29">
        <f>IF(B56="","",IF(ROUND(SUMIFS($F$6:$F$85,$B$6:$B$85,B56)-SUMIFS($G$6:$G$85,$B$6:$B$85,B56),0)=0,"OK","TIDAK SEIMBANG"))</f>
        <v/>
      </c>
      <c r="I56" s="27">
        <f>IF(C56="","",IFERROR(INDEX(COA!$C$6:$C$35,MATCH(C56,COA!$A$6:$A$35,0)),""))</f>
        <v/>
      </c>
      <c r="J56" s="27">
        <f>IF(C56="","",IFERROR(INDEX(COA!$E$6:$E$35,MATCH(C56,COA!$A$6:$A$35,0)),""))</f>
        <v/>
      </c>
    </row>
    <row r="57">
      <c r="A57" s="26" t="n">
        <v>46073</v>
      </c>
      <c r="B57" s="22" t="inlineStr">
        <is>
          <t>JU-2026-024</t>
        </is>
      </c>
      <c r="C57" s="21" t="n">
        <v>1101</v>
      </c>
      <c r="D57" s="27">
        <f>IF(C57="","",IFERROR(INDEX(COA!$B$6:$B$35,MATCH(C57,COA!$A$6:$A$35,0)),"AKUN TIDAK ADA"))</f>
        <v/>
      </c>
      <c r="E57" s="22" t="inlineStr">
        <is>
          <t>Listrik &amp; air</t>
        </is>
      </c>
      <c r="F57" s="28" t="n"/>
      <c r="G57" s="28" t="n">
        <v>2100000</v>
      </c>
      <c r="H57" s="29">
        <f>IF(B57="","",IF(ROUND(SUMIFS($F$6:$F$85,$B$6:$B$85,B57)-SUMIFS($G$6:$G$85,$B$6:$B$85,B57),0)=0,"OK","TIDAK SEIMBANG"))</f>
        <v/>
      </c>
      <c r="I57" s="27">
        <f>IF(C57="","",IFERROR(INDEX(COA!$C$6:$C$35,MATCH(C57,COA!$A$6:$A$35,0)),""))</f>
        <v/>
      </c>
      <c r="J57" s="27">
        <f>IF(C57="","",IFERROR(INDEX(COA!$E$6:$E$35,MATCH(C57,COA!$A$6:$A$35,0)),""))</f>
        <v/>
      </c>
    </row>
    <row r="58">
      <c r="A58" s="26" t="n">
        <v>46071</v>
      </c>
      <c r="B58" s="22" t="inlineStr">
        <is>
          <t>JU-2026-025</t>
        </is>
      </c>
      <c r="C58" s="21" t="n">
        <v>6104</v>
      </c>
      <c r="D58" s="27">
        <f>IF(C58="","",IFERROR(INDEX(COA!$B$6:$B$35,MATCH(C58,COA!$A$6:$A$35,0)),"AKUN TIDAK ADA"))</f>
        <v/>
      </c>
      <c r="E58" s="22" t="inlineStr">
        <is>
          <t>Biaya pemasaran</t>
        </is>
      </c>
      <c r="F58" s="28" t="n">
        <v>4400000</v>
      </c>
      <c r="G58" s="28" t="n"/>
      <c r="H58" s="29">
        <f>IF(B58="","",IF(ROUND(SUMIFS($F$6:$F$85,$B$6:$B$85,B58)-SUMIFS($G$6:$G$85,$B$6:$B$85,B58),0)=0,"OK","TIDAK SEIMBANG"))</f>
        <v/>
      </c>
      <c r="I58" s="27">
        <f>IF(C58="","",IFERROR(INDEX(COA!$C$6:$C$35,MATCH(C58,COA!$A$6:$A$35,0)),""))</f>
        <v/>
      </c>
      <c r="J58" s="27">
        <f>IF(C58="","",IFERROR(INDEX(COA!$E$6:$E$35,MATCH(C58,COA!$A$6:$A$35,0)),""))</f>
        <v/>
      </c>
    </row>
    <row r="59">
      <c r="A59" s="26" t="n">
        <v>46071</v>
      </c>
      <c r="B59" s="22" t="inlineStr">
        <is>
          <t>JU-2026-025</t>
        </is>
      </c>
      <c r="C59" s="21" t="n">
        <v>1102</v>
      </c>
      <c r="D59" s="27">
        <f>IF(C59="","",IFERROR(INDEX(COA!$B$6:$B$35,MATCH(C59,COA!$A$6:$A$35,0)),"AKUN TIDAK ADA"))</f>
        <v/>
      </c>
      <c r="E59" s="22" t="inlineStr">
        <is>
          <t>Biaya pemasaran</t>
        </is>
      </c>
      <c r="F59" s="28" t="n"/>
      <c r="G59" s="28" t="n">
        <v>4400000</v>
      </c>
      <c r="H59" s="29">
        <f>IF(B59="","",IF(ROUND(SUMIFS($F$6:$F$85,$B$6:$B$85,B59)-SUMIFS($G$6:$G$85,$B$6:$B$85,B59),0)=0,"OK","TIDAK SEIMBANG"))</f>
        <v/>
      </c>
      <c r="I59" s="27">
        <f>IF(C59="","",IFERROR(INDEX(COA!$C$6:$C$35,MATCH(C59,COA!$A$6:$A$35,0)),""))</f>
        <v/>
      </c>
      <c r="J59" s="27">
        <f>IF(C59="","",IFERROR(INDEX(COA!$E$6:$E$35,MATCH(C59,COA!$A$6:$A$35,0)),""))</f>
        <v/>
      </c>
    </row>
    <row r="60">
      <c r="A60" s="26" t="n">
        <v>46075</v>
      </c>
      <c r="B60" s="22" t="inlineStr">
        <is>
          <t>JU-2026-026</t>
        </is>
      </c>
      <c r="C60" s="21" t="n">
        <v>6106</v>
      </c>
      <c r="D60" s="27">
        <f>IF(C60="","",IFERROR(INDEX(COA!$B$6:$B$35,MATCH(C60,COA!$A$6:$A$35,0)),"AKUN TIDAK ADA"))</f>
        <v/>
      </c>
      <c r="E60" s="22" t="inlineStr">
        <is>
          <t>Administrasi &amp; umum</t>
        </is>
      </c>
      <c r="F60" s="28" t="n">
        <v>1800000</v>
      </c>
      <c r="G60" s="28" t="n"/>
      <c r="H60" s="29">
        <f>IF(B60="","",IF(ROUND(SUMIFS($F$6:$F$85,$B$6:$B$85,B60)-SUMIFS($G$6:$G$85,$B$6:$B$85,B60),0)=0,"OK","TIDAK SEIMBANG"))</f>
        <v/>
      </c>
      <c r="I60" s="27">
        <f>IF(C60="","",IFERROR(INDEX(COA!$C$6:$C$35,MATCH(C60,COA!$A$6:$A$35,0)),""))</f>
        <v/>
      </c>
      <c r="J60" s="27">
        <f>IF(C60="","",IFERROR(INDEX(COA!$E$6:$E$35,MATCH(C60,COA!$A$6:$A$35,0)),""))</f>
        <v/>
      </c>
    </row>
    <row r="61">
      <c r="A61" s="26" t="n">
        <v>46075</v>
      </c>
      <c r="B61" s="22" t="inlineStr">
        <is>
          <t>JU-2026-026</t>
        </is>
      </c>
      <c r="C61" s="21" t="n">
        <v>1101</v>
      </c>
      <c r="D61" s="27">
        <f>IF(C61="","",IFERROR(INDEX(COA!$B$6:$B$35,MATCH(C61,COA!$A$6:$A$35,0)),"AKUN TIDAK ADA"))</f>
        <v/>
      </c>
      <c r="E61" s="22" t="inlineStr">
        <is>
          <t>Administrasi &amp; umum</t>
        </is>
      </c>
      <c r="F61" s="28" t="n"/>
      <c r="G61" s="28" t="n">
        <v>1800000</v>
      </c>
      <c r="H61" s="29">
        <f>IF(B61="","",IF(ROUND(SUMIFS($F$6:$F$85,$B$6:$B$85,B61)-SUMIFS($G$6:$G$85,$B$6:$B$85,B61),0)=0,"OK","TIDAK SEIMBANG"))</f>
        <v/>
      </c>
      <c r="I61" s="27">
        <f>IF(C61="","",IFERROR(INDEX(COA!$C$6:$C$35,MATCH(C61,COA!$A$6:$A$35,0)),""))</f>
        <v/>
      </c>
      <c r="J61" s="27">
        <f>IF(C61="","",IFERROR(INDEX(COA!$E$6:$E$35,MATCH(C61,COA!$A$6:$A$35,0)),""))</f>
        <v/>
      </c>
    </row>
    <row r="62">
      <c r="A62" s="26" t="n">
        <v>46068</v>
      </c>
      <c r="B62" s="22" t="inlineStr">
        <is>
          <t>JU-2026-027</t>
        </is>
      </c>
      <c r="C62" s="21" t="n">
        <v>4102</v>
      </c>
      <c r="D62" s="27">
        <f>IF(C62="","",IFERROR(INDEX(COA!$B$6:$B$35,MATCH(C62,COA!$A$6:$A$35,0)),"AKUN TIDAK ADA"))</f>
        <v/>
      </c>
      <c r="E62" s="22" t="inlineStr">
        <is>
          <t>Retur penjualan</t>
        </is>
      </c>
      <c r="F62" s="28" t="n">
        <v>1500000</v>
      </c>
      <c r="G62" s="28" t="n"/>
      <c r="H62" s="29">
        <f>IF(B62="","",IF(ROUND(SUMIFS($F$6:$F$85,$B$6:$B$85,B62)-SUMIFS($G$6:$G$85,$B$6:$B$85,B62),0)=0,"OK","TIDAK SEIMBANG"))</f>
        <v/>
      </c>
      <c r="I62" s="27">
        <f>IF(C62="","",IFERROR(INDEX(COA!$C$6:$C$35,MATCH(C62,COA!$A$6:$A$35,0)),""))</f>
        <v/>
      </c>
      <c r="J62" s="27">
        <f>IF(C62="","",IFERROR(INDEX(COA!$E$6:$E$35,MATCH(C62,COA!$A$6:$A$35,0)),""))</f>
        <v/>
      </c>
    </row>
    <row r="63">
      <c r="A63" s="26" t="n">
        <v>46068</v>
      </c>
      <c r="B63" s="22" t="inlineStr">
        <is>
          <t>JU-2026-027</t>
        </is>
      </c>
      <c r="C63" s="21" t="n">
        <v>1201</v>
      </c>
      <c r="D63" s="27">
        <f>IF(C63="","",IFERROR(INDEX(COA!$B$6:$B$35,MATCH(C63,COA!$A$6:$A$35,0)),"AKUN TIDAK ADA"))</f>
        <v/>
      </c>
      <c r="E63" s="22" t="inlineStr">
        <is>
          <t>Retur penjualan</t>
        </is>
      </c>
      <c r="F63" s="28" t="n"/>
      <c r="G63" s="28" t="n">
        <v>1500000</v>
      </c>
      <c r="H63" s="29">
        <f>IF(B63="","",IF(ROUND(SUMIFS($F$6:$F$85,$B$6:$B$85,B63)-SUMIFS($G$6:$G$85,$B$6:$B$85,B63),0)=0,"OK","TIDAK SEIMBANG"))</f>
        <v/>
      </c>
      <c r="I63" s="27">
        <f>IF(C63="","",IFERROR(INDEX(COA!$C$6:$C$35,MATCH(C63,COA!$A$6:$A$35,0)),""))</f>
        <v/>
      </c>
      <c r="J63" s="27">
        <f>IF(C63="","",IFERROR(INDEX(COA!$E$6:$E$35,MATCH(C63,COA!$A$6:$A$35,0)),""))</f>
        <v/>
      </c>
    </row>
    <row r="64">
      <c r="A64" s="26" t="n">
        <v>46080</v>
      </c>
      <c r="B64" s="22" t="inlineStr">
        <is>
          <t>JU-2026-028</t>
        </is>
      </c>
      <c r="C64" s="21" t="n">
        <v>7201</v>
      </c>
      <c r="D64" s="27">
        <f>IF(C64="","",IFERROR(INDEX(COA!$B$6:$B$35,MATCH(C64,COA!$A$6:$A$35,0)),"AKUN TIDAK ADA"))</f>
        <v/>
      </c>
      <c r="E64" s="22" t="inlineStr">
        <is>
          <t>Cicilan bank (bunga)</t>
        </is>
      </c>
      <c r="F64" s="28" t="n">
        <v>900000</v>
      </c>
      <c r="G64" s="28" t="n"/>
      <c r="H64" s="29">
        <f>IF(B64="","",IF(ROUND(SUMIFS($F$6:$F$85,$B$6:$B$85,B64)-SUMIFS($G$6:$G$85,$B$6:$B$85,B64),0)=0,"OK","TIDAK SEIMBANG"))</f>
        <v/>
      </c>
      <c r="I64" s="27">
        <f>IF(C64="","",IFERROR(INDEX(COA!$C$6:$C$35,MATCH(C64,COA!$A$6:$A$35,0)),""))</f>
        <v/>
      </c>
      <c r="J64" s="27">
        <f>IF(C64="","",IFERROR(INDEX(COA!$E$6:$E$35,MATCH(C64,COA!$A$6:$A$35,0)),""))</f>
        <v/>
      </c>
    </row>
    <row r="65">
      <c r="A65" s="26" t="n">
        <v>46080</v>
      </c>
      <c r="B65" s="22" t="inlineStr">
        <is>
          <t>JU-2026-028</t>
        </is>
      </c>
      <c r="C65" s="21" t="n">
        <v>1102</v>
      </c>
      <c r="D65" s="27">
        <f>IF(C65="","",IFERROR(INDEX(COA!$B$6:$B$35,MATCH(C65,COA!$A$6:$A$35,0)),"AKUN TIDAK ADA"))</f>
        <v/>
      </c>
      <c r="E65" s="22" t="inlineStr">
        <is>
          <t>Cicilan bank (bunga)</t>
        </is>
      </c>
      <c r="F65" s="28" t="n"/>
      <c r="G65" s="28" t="n">
        <v>900000</v>
      </c>
      <c r="H65" s="29">
        <f>IF(B65="","",IF(ROUND(SUMIFS($F$6:$F$85,$B$6:$B$85,B65)-SUMIFS($G$6:$G$85,$B$6:$B$85,B65),0)=0,"OK","TIDAK SEIMBANG"))</f>
        <v/>
      </c>
      <c r="I65" s="27">
        <f>IF(C65="","",IFERROR(INDEX(COA!$C$6:$C$35,MATCH(C65,COA!$A$6:$A$35,0)),""))</f>
        <v/>
      </c>
      <c r="J65" s="27">
        <f>IF(C65="","",IFERROR(INDEX(COA!$E$6:$E$35,MATCH(C65,COA!$A$6:$A$35,0)),""))</f>
        <v/>
      </c>
    </row>
    <row r="66">
      <c r="A66" s="26" t="n">
        <v>46080</v>
      </c>
      <c r="B66" s="22" t="inlineStr">
        <is>
          <t>JU-2026-029</t>
        </is>
      </c>
      <c r="C66" s="21" t="n">
        <v>2201</v>
      </c>
      <c r="D66" s="27">
        <f>IF(C66="","",IFERROR(INDEX(COA!$B$6:$B$35,MATCH(C66,COA!$A$6:$A$35,0)),"AKUN TIDAK ADA"))</f>
        <v/>
      </c>
      <c r="E66" s="22" t="inlineStr">
        <is>
          <t>Cicilan bank (pokok)</t>
        </is>
      </c>
      <c r="F66" s="28" t="n">
        <v>1500000</v>
      </c>
      <c r="G66" s="28" t="n"/>
      <c r="H66" s="29">
        <f>IF(B66="","",IF(ROUND(SUMIFS($F$6:$F$85,$B$6:$B$85,B66)-SUMIFS($G$6:$G$85,$B$6:$B$85,B66),0)=0,"OK","TIDAK SEIMBANG"))</f>
        <v/>
      </c>
      <c r="I66" s="27">
        <f>IF(C66="","",IFERROR(INDEX(COA!$C$6:$C$35,MATCH(C66,COA!$A$6:$A$35,0)),""))</f>
        <v/>
      </c>
      <c r="J66" s="27">
        <f>IF(C66="","",IFERROR(INDEX(COA!$E$6:$E$35,MATCH(C66,COA!$A$6:$A$35,0)),""))</f>
        <v/>
      </c>
    </row>
    <row r="67">
      <c r="A67" s="26" t="n">
        <v>46080</v>
      </c>
      <c r="B67" s="22" t="inlineStr">
        <is>
          <t>JU-2026-029</t>
        </is>
      </c>
      <c r="C67" s="21" t="n">
        <v>1102</v>
      </c>
      <c r="D67" s="27">
        <f>IF(C67="","",IFERROR(INDEX(COA!$B$6:$B$35,MATCH(C67,COA!$A$6:$A$35,0)),"AKUN TIDAK ADA"))</f>
        <v/>
      </c>
      <c r="E67" s="22" t="inlineStr">
        <is>
          <t>Cicilan bank (pokok)</t>
        </is>
      </c>
      <c r="F67" s="28" t="n"/>
      <c r="G67" s="28" t="n">
        <v>1500000</v>
      </c>
      <c r="H67" s="29">
        <f>IF(B67="","",IF(ROUND(SUMIFS($F$6:$F$85,$B$6:$B$85,B67)-SUMIFS($G$6:$G$85,$B$6:$B$85,B67),0)=0,"OK","TIDAK SEIMBANG"))</f>
        <v/>
      </c>
      <c r="I67" s="27">
        <f>IF(C67="","",IFERROR(INDEX(COA!$C$6:$C$35,MATCH(C67,COA!$A$6:$A$35,0)),""))</f>
        <v/>
      </c>
      <c r="J67" s="27">
        <f>IF(C67="","",IFERROR(INDEX(COA!$E$6:$E$35,MATCH(C67,COA!$A$6:$A$35,0)),""))</f>
        <v/>
      </c>
    </row>
    <row r="68">
      <c r="A68" s="26" t="n">
        <v>46081</v>
      </c>
      <c r="B68" s="22" t="inlineStr">
        <is>
          <t>JU-2026-030</t>
        </is>
      </c>
      <c r="C68" s="21" t="n">
        <v>6105</v>
      </c>
      <c r="D68" s="27">
        <f>IF(C68="","",IFERROR(INDEX(COA!$B$6:$B$35,MATCH(C68,COA!$A$6:$A$35,0)),"AKUN TIDAK ADA"))</f>
        <v/>
      </c>
      <c r="E68" s="22" t="inlineStr">
        <is>
          <t>Penyusutan peralatan</t>
        </is>
      </c>
      <c r="F68" s="28" t="n">
        <v>1000000</v>
      </c>
      <c r="G68" s="28" t="n"/>
      <c r="H68" s="29">
        <f>IF(B68="","",IF(ROUND(SUMIFS($F$6:$F$85,$B$6:$B$85,B68)-SUMIFS($G$6:$G$85,$B$6:$B$85,B68),0)=0,"OK","TIDAK SEIMBANG"))</f>
        <v/>
      </c>
      <c r="I68" s="27">
        <f>IF(C68="","",IFERROR(INDEX(COA!$C$6:$C$35,MATCH(C68,COA!$A$6:$A$35,0)),""))</f>
        <v/>
      </c>
      <c r="J68" s="27">
        <f>IF(C68="","",IFERROR(INDEX(COA!$E$6:$E$35,MATCH(C68,COA!$A$6:$A$35,0)),""))</f>
        <v/>
      </c>
    </row>
    <row r="69">
      <c r="A69" s="26" t="n">
        <v>46081</v>
      </c>
      <c r="B69" s="22" t="inlineStr">
        <is>
          <t>JU-2026-030</t>
        </is>
      </c>
      <c r="C69" s="21" t="n">
        <v>1502</v>
      </c>
      <c r="D69" s="27">
        <f>IF(C69="","",IFERROR(INDEX(COA!$B$6:$B$35,MATCH(C69,COA!$A$6:$A$35,0)),"AKUN TIDAK ADA"))</f>
        <v/>
      </c>
      <c r="E69" s="22" t="inlineStr">
        <is>
          <t>Penyusutan peralatan</t>
        </is>
      </c>
      <c r="F69" s="28" t="n"/>
      <c r="G69" s="28" t="n">
        <v>1000000</v>
      </c>
      <c r="H69" s="29">
        <f>IF(B69="","",IF(ROUND(SUMIFS($F$6:$F$85,$B$6:$B$85,B69)-SUMIFS($G$6:$G$85,$B$6:$B$85,B69),0)=0,"OK","TIDAK SEIMBANG"))</f>
        <v/>
      </c>
      <c r="I69" s="27">
        <f>IF(C69="","",IFERROR(INDEX(COA!$C$6:$C$35,MATCH(C69,COA!$A$6:$A$35,0)),""))</f>
        <v/>
      </c>
      <c r="J69" s="27">
        <f>IF(C69="","",IFERROR(INDEX(COA!$E$6:$E$35,MATCH(C69,COA!$A$6:$A$35,0)),""))</f>
        <v/>
      </c>
    </row>
    <row r="70">
      <c r="A70" s="26" t="n">
        <v>46081</v>
      </c>
      <c r="B70" s="22" t="inlineStr">
        <is>
          <t>JU-2026-031</t>
        </is>
      </c>
      <c r="C70" s="21" t="n">
        <v>1102</v>
      </c>
      <c r="D70" s="27">
        <f>IF(C70="","",IFERROR(INDEX(COA!$B$6:$B$35,MATCH(C70,COA!$A$6:$A$35,0)),"AKUN TIDAK ADA"))</f>
        <v/>
      </c>
      <c r="E70" s="22" t="inlineStr">
        <is>
          <t>Bunga bank</t>
        </is>
      </c>
      <c r="F70" s="28" t="n">
        <v>200000</v>
      </c>
      <c r="G70" s="28" t="n"/>
      <c r="H70" s="29">
        <f>IF(B70="","",IF(ROUND(SUMIFS($F$6:$F$85,$B$6:$B$85,B70)-SUMIFS($G$6:$G$85,$B$6:$B$85,B70),0)=0,"OK","TIDAK SEIMBANG"))</f>
        <v/>
      </c>
      <c r="I70" s="27">
        <f>IF(C70="","",IFERROR(INDEX(COA!$C$6:$C$35,MATCH(C70,COA!$A$6:$A$35,0)),""))</f>
        <v/>
      </c>
      <c r="J70" s="27">
        <f>IF(C70="","",IFERROR(INDEX(COA!$E$6:$E$35,MATCH(C70,COA!$A$6:$A$35,0)),""))</f>
        <v/>
      </c>
    </row>
    <row r="71">
      <c r="A71" s="26" t="n">
        <v>46081</v>
      </c>
      <c r="B71" s="22" t="inlineStr">
        <is>
          <t>JU-2026-031</t>
        </is>
      </c>
      <c r="C71" s="21" t="n">
        <v>7101</v>
      </c>
      <c r="D71" s="27">
        <f>IF(C71="","",IFERROR(INDEX(COA!$B$6:$B$35,MATCH(C71,COA!$A$6:$A$35,0)),"AKUN TIDAK ADA"))</f>
        <v/>
      </c>
      <c r="E71" s="22" t="inlineStr">
        <is>
          <t>Bunga bank</t>
        </is>
      </c>
      <c r="F71" s="28" t="n"/>
      <c r="G71" s="28" t="n">
        <v>200000</v>
      </c>
      <c r="H71" s="29">
        <f>IF(B71="","",IF(ROUND(SUMIFS($F$6:$F$85,$B$6:$B$85,B71)-SUMIFS($G$6:$G$85,$B$6:$B$85,B71),0)=0,"OK","TIDAK SEIMBANG"))</f>
        <v/>
      </c>
      <c r="I71" s="27">
        <f>IF(C71="","",IFERROR(INDEX(COA!$C$6:$C$35,MATCH(C71,COA!$A$6:$A$35,0)),""))</f>
        <v/>
      </c>
      <c r="J71" s="27">
        <f>IF(C71="","",IFERROR(INDEX(COA!$E$6:$E$35,MATCH(C71,COA!$A$6:$A$35,0)),""))</f>
        <v/>
      </c>
    </row>
    <row r="72">
      <c r="A72" s="26" t="n">
        <v>46061</v>
      </c>
      <c r="B72" s="22" t="inlineStr">
        <is>
          <t>JU-2026-032</t>
        </is>
      </c>
      <c r="C72" s="21" t="n">
        <v>1101</v>
      </c>
      <c r="D72" s="27">
        <f>IF(C72="","",IFERROR(INDEX(COA!$B$6:$B$35,MATCH(C72,COA!$A$6:$A$35,0)),"AKUN TIDAK ADA"))</f>
        <v/>
      </c>
      <c r="E72" s="22" t="inlineStr">
        <is>
          <t>Penarikan kas dari bank</t>
        </is>
      </c>
      <c r="F72" s="28" t="n">
        <v>5000000</v>
      </c>
      <c r="G72" s="28" t="n"/>
      <c r="H72" s="29">
        <f>IF(B72="","",IF(ROUND(SUMIFS($F$6:$F$85,$B$6:$B$85,B72)-SUMIFS($G$6:$G$85,$B$6:$B$85,B72),0)=0,"OK","TIDAK SEIMBANG"))</f>
        <v/>
      </c>
      <c r="I72" s="27">
        <f>IF(C72="","",IFERROR(INDEX(COA!$C$6:$C$35,MATCH(C72,COA!$A$6:$A$35,0)),""))</f>
        <v/>
      </c>
      <c r="J72" s="27">
        <f>IF(C72="","",IFERROR(INDEX(COA!$E$6:$E$35,MATCH(C72,COA!$A$6:$A$35,0)),""))</f>
        <v/>
      </c>
    </row>
    <row r="73">
      <c r="A73" s="26" t="n">
        <v>46061</v>
      </c>
      <c r="B73" s="22" t="inlineStr">
        <is>
          <t>JU-2026-032</t>
        </is>
      </c>
      <c r="C73" s="21" t="n">
        <v>1102</v>
      </c>
      <c r="D73" s="27">
        <f>IF(C73="","",IFERROR(INDEX(COA!$B$6:$B$35,MATCH(C73,COA!$A$6:$A$35,0)),"AKUN TIDAK ADA"))</f>
        <v/>
      </c>
      <c r="E73" s="22" t="inlineStr">
        <is>
          <t>Penarikan kas dari bank</t>
        </is>
      </c>
      <c r="F73" s="28" t="n"/>
      <c r="G73" s="28" t="n">
        <v>5000000</v>
      </c>
      <c r="H73" s="29">
        <f>IF(B73="","",IF(ROUND(SUMIFS($F$6:$F$85,$B$6:$B$85,B73)-SUMIFS($G$6:$G$85,$B$6:$B$85,B73),0)=0,"OK","TIDAK SEIMBANG"))</f>
        <v/>
      </c>
      <c r="I73" s="27">
        <f>IF(C73="","",IFERROR(INDEX(COA!$C$6:$C$35,MATCH(C73,COA!$A$6:$A$35,0)),""))</f>
        <v/>
      </c>
      <c r="J73" s="27">
        <f>IF(C73="","",IFERROR(INDEX(COA!$E$6:$E$35,MATCH(C73,COA!$A$6:$A$35,0)),""))</f>
        <v/>
      </c>
    </row>
    <row r="74">
      <c r="A74" s="26" t="n"/>
      <c r="B74" s="22" t="n"/>
      <c r="C74" s="21" t="n"/>
      <c r="D74" s="27">
        <f>IF(C74="","",IFERROR(INDEX(COA!$B$6:$B$35,MATCH(C74,COA!$A$6:$A$35,0)),"AKUN TIDAK ADA"))</f>
        <v/>
      </c>
      <c r="E74" s="22" t="n"/>
      <c r="F74" s="28" t="n"/>
      <c r="G74" s="28" t="n"/>
      <c r="H74" s="29">
        <f>IF(B74="","",IF(ROUND(SUMIFS($F$6:$F$85,$B$6:$B$85,B74)-SUMIFS($G$6:$G$85,$B$6:$B$85,B74),0)=0,"OK","TIDAK SEIMBANG"))</f>
        <v/>
      </c>
      <c r="I74" s="27">
        <f>IF(C74="","",IFERROR(INDEX(COA!$C$6:$C$35,MATCH(C74,COA!$A$6:$A$35,0)),""))</f>
        <v/>
      </c>
      <c r="J74" s="27">
        <f>IF(C74="","",IFERROR(INDEX(COA!$E$6:$E$35,MATCH(C74,COA!$A$6:$A$35,0)),""))</f>
        <v/>
      </c>
    </row>
    <row r="75">
      <c r="A75" s="26" t="n"/>
      <c r="B75" s="22" t="n"/>
      <c r="C75" s="21" t="n"/>
      <c r="D75" s="27">
        <f>IF(C75="","",IFERROR(INDEX(COA!$B$6:$B$35,MATCH(C75,COA!$A$6:$A$35,0)),"AKUN TIDAK ADA"))</f>
        <v/>
      </c>
      <c r="E75" s="22" t="n"/>
      <c r="F75" s="28" t="n"/>
      <c r="G75" s="28" t="n"/>
      <c r="H75" s="29">
        <f>IF(B75="","",IF(ROUND(SUMIFS($F$6:$F$85,$B$6:$B$85,B75)-SUMIFS($G$6:$G$85,$B$6:$B$85,B75),0)=0,"OK","TIDAK SEIMBANG"))</f>
        <v/>
      </c>
      <c r="I75" s="27">
        <f>IF(C75="","",IFERROR(INDEX(COA!$C$6:$C$35,MATCH(C75,COA!$A$6:$A$35,0)),""))</f>
        <v/>
      </c>
      <c r="J75" s="27">
        <f>IF(C75="","",IFERROR(INDEX(COA!$E$6:$E$35,MATCH(C75,COA!$A$6:$A$35,0)),""))</f>
        <v/>
      </c>
    </row>
    <row r="76">
      <c r="A76" s="26" t="n"/>
      <c r="B76" s="22" t="n"/>
      <c r="C76" s="21" t="n"/>
      <c r="D76" s="27">
        <f>IF(C76="","",IFERROR(INDEX(COA!$B$6:$B$35,MATCH(C76,COA!$A$6:$A$35,0)),"AKUN TIDAK ADA"))</f>
        <v/>
      </c>
      <c r="E76" s="22" t="n"/>
      <c r="F76" s="28" t="n"/>
      <c r="G76" s="28" t="n"/>
      <c r="H76" s="29">
        <f>IF(B76="","",IF(ROUND(SUMIFS($F$6:$F$85,$B$6:$B$85,B76)-SUMIFS($G$6:$G$85,$B$6:$B$85,B76),0)=0,"OK","TIDAK SEIMBANG"))</f>
        <v/>
      </c>
      <c r="I76" s="27">
        <f>IF(C76="","",IFERROR(INDEX(COA!$C$6:$C$35,MATCH(C76,COA!$A$6:$A$35,0)),""))</f>
        <v/>
      </c>
      <c r="J76" s="27">
        <f>IF(C76="","",IFERROR(INDEX(COA!$E$6:$E$35,MATCH(C76,COA!$A$6:$A$35,0)),""))</f>
        <v/>
      </c>
    </row>
    <row r="77">
      <c r="A77" s="26" t="n"/>
      <c r="B77" s="22" t="n"/>
      <c r="C77" s="21" t="n"/>
      <c r="D77" s="27">
        <f>IF(C77="","",IFERROR(INDEX(COA!$B$6:$B$35,MATCH(C77,COA!$A$6:$A$35,0)),"AKUN TIDAK ADA"))</f>
        <v/>
      </c>
      <c r="E77" s="22" t="n"/>
      <c r="F77" s="28" t="n"/>
      <c r="G77" s="28" t="n"/>
      <c r="H77" s="29">
        <f>IF(B77="","",IF(ROUND(SUMIFS($F$6:$F$85,$B$6:$B$85,B77)-SUMIFS($G$6:$G$85,$B$6:$B$85,B77),0)=0,"OK","TIDAK SEIMBANG"))</f>
        <v/>
      </c>
      <c r="I77" s="27">
        <f>IF(C77="","",IFERROR(INDEX(COA!$C$6:$C$35,MATCH(C77,COA!$A$6:$A$35,0)),""))</f>
        <v/>
      </c>
      <c r="J77" s="27">
        <f>IF(C77="","",IFERROR(INDEX(COA!$E$6:$E$35,MATCH(C77,COA!$A$6:$A$35,0)),""))</f>
        <v/>
      </c>
    </row>
    <row r="78">
      <c r="A78" s="26" t="n"/>
      <c r="B78" s="22" t="n"/>
      <c r="C78" s="21" t="n"/>
      <c r="D78" s="27">
        <f>IF(C78="","",IFERROR(INDEX(COA!$B$6:$B$35,MATCH(C78,COA!$A$6:$A$35,0)),"AKUN TIDAK ADA"))</f>
        <v/>
      </c>
      <c r="E78" s="22" t="n"/>
      <c r="F78" s="28" t="n"/>
      <c r="G78" s="28" t="n"/>
      <c r="H78" s="29">
        <f>IF(B78="","",IF(ROUND(SUMIFS($F$6:$F$85,$B$6:$B$85,B78)-SUMIFS($G$6:$G$85,$B$6:$B$85,B78),0)=0,"OK","TIDAK SEIMBANG"))</f>
        <v/>
      </c>
      <c r="I78" s="27">
        <f>IF(C78="","",IFERROR(INDEX(COA!$C$6:$C$35,MATCH(C78,COA!$A$6:$A$35,0)),""))</f>
        <v/>
      </c>
      <c r="J78" s="27">
        <f>IF(C78="","",IFERROR(INDEX(COA!$E$6:$E$35,MATCH(C78,COA!$A$6:$A$35,0)),""))</f>
        <v/>
      </c>
    </row>
    <row r="79">
      <c r="A79" s="26" t="n"/>
      <c r="B79" s="22" t="n"/>
      <c r="C79" s="21" t="n"/>
      <c r="D79" s="27">
        <f>IF(C79="","",IFERROR(INDEX(COA!$B$6:$B$35,MATCH(C79,COA!$A$6:$A$35,0)),"AKUN TIDAK ADA"))</f>
        <v/>
      </c>
      <c r="E79" s="22" t="n"/>
      <c r="F79" s="28" t="n"/>
      <c r="G79" s="28" t="n"/>
      <c r="H79" s="29">
        <f>IF(B79="","",IF(ROUND(SUMIFS($F$6:$F$85,$B$6:$B$85,B79)-SUMIFS($G$6:$G$85,$B$6:$B$85,B79),0)=0,"OK","TIDAK SEIMBANG"))</f>
        <v/>
      </c>
      <c r="I79" s="27">
        <f>IF(C79="","",IFERROR(INDEX(COA!$C$6:$C$35,MATCH(C79,COA!$A$6:$A$35,0)),""))</f>
        <v/>
      </c>
      <c r="J79" s="27">
        <f>IF(C79="","",IFERROR(INDEX(COA!$E$6:$E$35,MATCH(C79,COA!$A$6:$A$35,0)),""))</f>
        <v/>
      </c>
    </row>
    <row r="80">
      <c r="A80" s="26" t="n"/>
      <c r="B80" s="22" t="n"/>
      <c r="C80" s="21" t="n"/>
      <c r="D80" s="27">
        <f>IF(C80="","",IFERROR(INDEX(COA!$B$6:$B$35,MATCH(C80,COA!$A$6:$A$35,0)),"AKUN TIDAK ADA"))</f>
        <v/>
      </c>
      <c r="E80" s="22" t="n"/>
      <c r="F80" s="28" t="n"/>
      <c r="G80" s="28" t="n"/>
      <c r="H80" s="29">
        <f>IF(B80="","",IF(ROUND(SUMIFS($F$6:$F$85,$B$6:$B$85,B80)-SUMIFS($G$6:$G$85,$B$6:$B$85,B80),0)=0,"OK","TIDAK SEIMBANG"))</f>
        <v/>
      </c>
      <c r="I80" s="27">
        <f>IF(C80="","",IFERROR(INDEX(COA!$C$6:$C$35,MATCH(C80,COA!$A$6:$A$35,0)),""))</f>
        <v/>
      </c>
      <c r="J80" s="27">
        <f>IF(C80="","",IFERROR(INDEX(COA!$E$6:$E$35,MATCH(C80,COA!$A$6:$A$35,0)),""))</f>
        <v/>
      </c>
    </row>
    <row r="81">
      <c r="A81" s="26" t="n"/>
      <c r="B81" s="22" t="n"/>
      <c r="C81" s="21" t="n"/>
      <c r="D81" s="27">
        <f>IF(C81="","",IFERROR(INDEX(COA!$B$6:$B$35,MATCH(C81,COA!$A$6:$A$35,0)),"AKUN TIDAK ADA"))</f>
        <v/>
      </c>
      <c r="E81" s="22" t="n"/>
      <c r="F81" s="28" t="n"/>
      <c r="G81" s="28" t="n"/>
      <c r="H81" s="29">
        <f>IF(B81="","",IF(ROUND(SUMIFS($F$6:$F$85,$B$6:$B$85,B81)-SUMIFS($G$6:$G$85,$B$6:$B$85,B81),0)=0,"OK","TIDAK SEIMBANG"))</f>
        <v/>
      </c>
      <c r="I81" s="27">
        <f>IF(C81="","",IFERROR(INDEX(COA!$C$6:$C$35,MATCH(C81,COA!$A$6:$A$35,0)),""))</f>
        <v/>
      </c>
      <c r="J81" s="27">
        <f>IF(C81="","",IFERROR(INDEX(COA!$E$6:$E$35,MATCH(C81,COA!$A$6:$A$35,0)),""))</f>
        <v/>
      </c>
    </row>
    <row r="82">
      <c r="A82" s="26" t="n"/>
      <c r="B82" s="22" t="n"/>
      <c r="C82" s="21" t="n"/>
      <c r="D82" s="27">
        <f>IF(C82="","",IFERROR(INDEX(COA!$B$6:$B$35,MATCH(C82,COA!$A$6:$A$35,0)),"AKUN TIDAK ADA"))</f>
        <v/>
      </c>
      <c r="E82" s="22" t="n"/>
      <c r="F82" s="28" t="n"/>
      <c r="G82" s="28" t="n"/>
      <c r="H82" s="29">
        <f>IF(B82="","",IF(ROUND(SUMIFS($F$6:$F$85,$B$6:$B$85,B82)-SUMIFS($G$6:$G$85,$B$6:$B$85,B82),0)=0,"OK","TIDAK SEIMBANG"))</f>
        <v/>
      </c>
      <c r="I82" s="27">
        <f>IF(C82="","",IFERROR(INDEX(COA!$C$6:$C$35,MATCH(C82,COA!$A$6:$A$35,0)),""))</f>
        <v/>
      </c>
      <c r="J82" s="27">
        <f>IF(C82="","",IFERROR(INDEX(COA!$E$6:$E$35,MATCH(C82,COA!$A$6:$A$35,0)),""))</f>
        <v/>
      </c>
    </row>
    <row r="83">
      <c r="A83" s="26" t="n"/>
      <c r="B83" s="22" t="n"/>
      <c r="C83" s="21" t="n"/>
      <c r="D83" s="27">
        <f>IF(C83="","",IFERROR(INDEX(COA!$B$6:$B$35,MATCH(C83,COA!$A$6:$A$35,0)),"AKUN TIDAK ADA"))</f>
        <v/>
      </c>
      <c r="E83" s="22" t="n"/>
      <c r="F83" s="28" t="n"/>
      <c r="G83" s="28" t="n"/>
      <c r="H83" s="29">
        <f>IF(B83="","",IF(ROUND(SUMIFS($F$6:$F$85,$B$6:$B$85,B83)-SUMIFS($G$6:$G$85,$B$6:$B$85,B83),0)=0,"OK","TIDAK SEIMBANG"))</f>
        <v/>
      </c>
      <c r="I83" s="27">
        <f>IF(C83="","",IFERROR(INDEX(COA!$C$6:$C$35,MATCH(C83,COA!$A$6:$A$35,0)),""))</f>
        <v/>
      </c>
      <c r="J83" s="27">
        <f>IF(C83="","",IFERROR(INDEX(COA!$E$6:$E$35,MATCH(C83,COA!$A$6:$A$35,0)),""))</f>
        <v/>
      </c>
    </row>
    <row r="84">
      <c r="A84" s="26" t="n"/>
      <c r="B84" s="22" t="n"/>
      <c r="C84" s="21" t="n"/>
      <c r="D84" s="27">
        <f>IF(C84="","",IFERROR(INDEX(COA!$B$6:$B$35,MATCH(C84,COA!$A$6:$A$35,0)),"AKUN TIDAK ADA"))</f>
        <v/>
      </c>
      <c r="E84" s="22" t="n"/>
      <c r="F84" s="28" t="n"/>
      <c r="G84" s="28" t="n"/>
      <c r="H84" s="29">
        <f>IF(B84="","",IF(ROUND(SUMIFS($F$6:$F$85,$B$6:$B$85,B84)-SUMIFS($G$6:$G$85,$B$6:$B$85,B84),0)=0,"OK","TIDAK SEIMBANG"))</f>
        <v/>
      </c>
      <c r="I84" s="27">
        <f>IF(C84="","",IFERROR(INDEX(COA!$C$6:$C$35,MATCH(C84,COA!$A$6:$A$35,0)),""))</f>
        <v/>
      </c>
      <c r="J84" s="27">
        <f>IF(C84="","",IFERROR(INDEX(COA!$E$6:$E$35,MATCH(C84,COA!$A$6:$A$35,0)),""))</f>
        <v/>
      </c>
    </row>
    <row r="85">
      <c r="A85" s="26" t="n"/>
      <c r="B85" s="22" t="n"/>
      <c r="C85" s="21" t="n"/>
      <c r="D85" s="27">
        <f>IF(C85="","",IFERROR(INDEX(COA!$B$6:$B$35,MATCH(C85,COA!$A$6:$A$35,0)),"AKUN TIDAK ADA"))</f>
        <v/>
      </c>
      <c r="E85" s="22" t="n"/>
      <c r="F85" s="28" t="n"/>
      <c r="G85" s="28" t="n"/>
      <c r="H85" s="29">
        <f>IF(B85="","",IF(ROUND(SUMIFS($F$6:$F$85,$B$6:$B$85,B85)-SUMIFS($G$6:$G$85,$B$6:$B$85,B85),0)=0,"OK","TIDAK SEIMBANG"))</f>
        <v/>
      </c>
      <c r="I85" s="27">
        <f>IF(C85="","",IFERROR(INDEX(COA!$C$6:$C$35,MATCH(C85,COA!$A$6:$A$35,0)),""))</f>
        <v/>
      </c>
      <c r="J85" s="27">
        <f>IF(C85="","",IFERROR(INDEX(COA!$E$6:$E$35,MATCH(C85,COA!$A$6:$A$35,0)),""))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J3"/>
  </mergeCells>
  <conditionalFormatting sqref="H4:H85">
    <cfRule type="cellIs" priority="1" operator="equal" dxfId="0">
      <formula>"TIDAK SEIMBANG"</formula>
    </cfRule>
  </conditionalFormatting>
  <conditionalFormatting sqref="H4">
    <cfRule type="cellIs" priority="2" operator="equal" dxfId="0">
      <formula>"SELISIH"</formula>
    </cfRule>
    <cfRule type="cellIs" priority="3" operator="equal" dxfId="1">
      <formula>"SEIMBANG"</formula>
    </cfRule>
  </conditionalFormatting>
  <dataValidations count="1">
    <dataValidation sqref="C6:C85" showDropDown="0" showInputMessage="0" showErrorMessage="0" allowBlank="1" type="list">
      <formula1>=COA!$A$6:$A$35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4" customHeight="1">
      <c r="A1" s="13" t="inlineStr">
        <is>
          <t>Neraca Saldo</t>
        </is>
      </c>
    </row>
    <row r="2">
      <c r="A2" s="14" t="inlineStr">
        <is>
          <t>Kumulatif sampai akhir periode laporan</t>
        </is>
      </c>
    </row>
    <row r="3">
      <c r="A3" s="15" t="inlineStr">
        <is>
          <t>VERSI DEMO: kapasitas &amp; fitur dibatasi, data simulasi. Versi lengkap: WhatsApp 089623291732</t>
        </is>
      </c>
    </row>
    <row r="4">
      <c r="C4" s="23" t="inlineStr">
        <is>
          <t>TOTAL</t>
        </is>
      </c>
      <c r="D4" s="24">
        <f>SUM(D6:D35)</f>
        <v/>
      </c>
      <c r="E4" s="24">
        <f>SUM(E6:E35)</f>
        <v/>
      </c>
      <c r="F4" s="24">
        <f>SUM(F6:F35)</f>
        <v/>
      </c>
      <c r="G4" s="24">
        <f>SUM(G6:G35)</f>
        <v/>
      </c>
      <c r="H4" s="16">
        <f>IF(ROUND(F4-G4,0)=0,"SEIMBANG","SELISIH")</f>
        <v/>
      </c>
    </row>
    <row r="5" ht="30" customHeight="1">
      <c r="A5" s="20" t="inlineStr">
        <is>
          <t>Kode</t>
        </is>
      </c>
      <c r="B5" s="20" t="inlineStr">
        <is>
          <t>Nama Akun</t>
        </is>
      </c>
      <c r="C5" s="20" t="inlineStr">
        <is>
          <t>Tipe</t>
        </is>
      </c>
      <c r="D5" s="20" t="inlineStr">
        <is>
          <t>Mutasi Debit</t>
        </is>
      </c>
      <c r="E5" s="20" t="inlineStr">
        <is>
          <t>Mutasi Kredit</t>
        </is>
      </c>
      <c r="F5" s="20" t="inlineStr">
        <is>
          <t>Saldo Debit</t>
        </is>
      </c>
      <c r="G5" s="20" t="inlineStr">
        <is>
          <t>Saldo Kredit</t>
        </is>
      </c>
    </row>
    <row r="6">
      <c r="A6" s="29">
        <f>IF(COA!A6="","",COA!A6)</f>
        <v/>
      </c>
      <c r="B6" s="27">
        <f>IF(A6="","",COA!B6)</f>
        <v/>
      </c>
      <c r="C6" s="27">
        <f>IF(A6="","",COA!C6)</f>
        <v/>
      </c>
      <c r="D6" s="30">
        <f>IF(A6="","",SUMIFS(JURNAL!$F$6:$F$85,JURNAL!$C$6:$C$85,A6,JURNAL!$A$6:$A$85,"&lt;="&amp;PARAMETER!$C$8))</f>
        <v/>
      </c>
      <c r="E6" s="30">
        <f>IF(A6="","",SUMIFS(JURNAL!$G$6:$G$85,JURNAL!$C$6:$C$85,A6,JURNAL!$A$6:$A$85,"&lt;="&amp;PARAMETER!$C$8))</f>
        <v/>
      </c>
      <c r="F6" s="30">
        <f>IF(A6="","",MAX(0,D6-E6))</f>
        <v/>
      </c>
      <c r="G6" s="30">
        <f>IF(A6="","",MAX(0,E6-D6))</f>
        <v/>
      </c>
    </row>
    <row r="7">
      <c r="A7" s="29">
        <f>IF(COA!A7="","",COA!A7)</f>
        <v/>
      </c>
      <c r="B7" s="27">
        <f>IF(A7="","",COA!B7)</f>
        <v/>
      </c>
      <c r="C7" s="27">
        <f>IF(A7="","",COA!C7)</f>
        <v/>
      </c>
      <c r="D7" s="30">
        <f>IF(A7="","",SUMIFS(JURNAL!$F$6:$F$85,JURNAL!$C$6:$C$85,A7,JURNAL!$A$6:$A$85,"&lt;="&amp;PARAMETER!$C$8))</f>
        <v/>
      </c>
      <c r="E7" s="30">
        <f>IF(A7="","",SUMIFS(JURNAL!$G$6:$G$85,JURNAL!$C$6:$C$85,A7,JURNAL!$A$6:$A$85,"&lt;="&amp;PARAMETER!$C$8))</f>
        <v/>
      </c>
      <c r="F7" s="30">
        <f>IF(A7="","",MAX(0,D7-E7))</f>
        <v/>
      </c>
      <c r="G7" s="30">
        <f>IF(A7="","",MAX(0,E7-D7))</f>
        <v/>
      </c>
    </row>
    <row r="8">
      <c r="A8" s="29">
        <f>IF(COA!A8="","",COA!A8)</f>
        <v/>
      </c>
      <c r="B8" s="27">
        <f>IF(A8="","",COA!B8)</f>
        <v/>
      </c>
      <c r="C8" s="27">
        <f>IF(A8="","",COA!C8)</f>
        <v/>
      </c>
      <c r="D8" s="30">
        <f>IF(A8="","",SUMIFS(JURNAL!$F$6:$F$85,JURNAL!$C$6:$C$85,A8,JURNAL!$A$6:$A$85,"&lt;="&amp;PARAMETER!$C$8))</f>
        <v/>
      </c>
      <c r="E8" s="30">
        <f>IF(A8="","",SUMIFS(JURNAL!$G$6:$G$85,JURNAL!$C$6:$C$85,A8,JURNAL!$A$6:$A$85,"&lt;="&amp;PARAMETER!$C$8))</f>
        <v/>
      </c>
      <c r="F8" s="30">
        <f>IF(A8="","",MAX(0,D8-E8))</f>
        <v/>
      </c>
      <c r="G8" s="30">
        <f>IF(A8="","",MAX(0,E8-D8))</f>
        <v/>
      </c>
    </row>
    <row r="9">
      <c r="A9" s="29">
        <f>IF(COA!A9="","",COA!A9)</f>
        <v/>
      </c>
      <c r="B9" s="27">
        <f>IF(A9="","",COA!B9)</f>
        <v/>
      </c>
      <c r="C9" s="27">
        <f>IF(A9="","",COA!C9)</f>
        <v/>
      </c>
      <c r="D9" s="30">
        <f>IF(A9="","",SUMIFS(JURNAL!$F$6:$F$85,JURNAL!$C$6:$C$85,A9,JURNAL!$A$6:$A$85,"&lt;="&amp;PARAMETER!$C$8))</f>
        <v/>
      </c>
      <c r="E9" s="30">
        <f>IF(A9="","",SUMIFS(JURNAL!$G$6:$G$85,JURNAL!$C$6:$C$85,A9,JURNAL!$A$6:$A$85,"&lt;="&amp;PARAMETER!$C$8))</f>
        <v/>
      </c>
      <c r="F9" s="30">
        <f>IF(A9="","",MAX(0,D9-E9))</f>
        <v/>
      </c>
      <c r="G9" s="30">
        <f>IF(A9="","",MAX(0,E9-D9))</f>
        <v/>
      </c>
    </row>
    <row r="10">
      <c r="A10" s="29">
        <f>IF(COA!A10="","",COA!A10)</f>
        <v/>
      </c>
      <c r="B10" s="27">
        <f>IF(A10="","",COA!B10)</f>
        <v/>
      </c>
      <c r="C10" s="27">
        <f>IF(A10="","",COA!C10)</f>
        <v/>
      </c>
      <c r="D10" s="30">
        <f>IF(A10="","",SUMIFS(JURNAL!$F$6:$F$85,JURNAL!$C$6:$C$85,A10,JURNAL!$A$6:$A$85,"&lt;="&amp;PARAMETER!$C$8))</f>
        <v/>
      </c>
      <c r="E10" s="30">
        <f>IF(A10="","",SUMIFS(JURNAL!$G$6:$G$85,JURNAL!$C$6:$C$85,A10,JURNAL!$A$6:$A$85,"&lt;="&amp;PARAMETER!$C$8))</f>
        <v/>
      </c>
      <c r="F10" s="30">
        <f>IF(A10="","",MAX(0,D10-E10))</f>
        <v/>
      </c>
      <c r="G10" s="30">
        <f>IF(A10="","",MAX(0,E10-D10))</f>
        <v/>
      </c>
    </row>
    <row r="11">
      <c r="A11" s="29">
        <f>IF(COA!A11="","",COA!A11)</f>
        <v/>
      </c>
      <c r="B11" s="27">
        <f>IF(A11="","",COA!B11)</f>
        <v/>
      </c>
      <c r="C11" s="27">
        <f>IF(A11="","",COA!C11)</f>
        <v/>
      </c>
      <c r="D11" s="30">
        <f>IF(A11="","",SUMIFS(JURNAL!$F$6:$F$85,JURNAL!$C$6:$C$85,A11,JURNAL!$A$6:$A$85,"&lt;="&amp;PARAMETER!$C$8))</f>
        <v/>
      </c>
      <c r="E11" s="30">
        <f>IF(A11="","",SUMIFS(JURNAL!$G$6:$G$85,JURNAL!$C$6:$C$85,A11,JURNAL!$A$6:$A$85,"&lt;="&amp;PARAMETER!$C$8))</f>
        <v/>
      </c>
      <c r="F11" s="30">
        <f>IF(A11="","",MAX(0,D11-E11))</f>
        <v/>
      </c>
      <c r="G11" s="30">
        <f>IF(A11="","",MAX(0,E11-D11))</f>
        <v/>
      </c>
    </row>
    <row r="12">
      <c r="A12" s="29">
        <f>IF(COA!A12="","",COA!A12)</f>
        <v/>
      </c>
      <c r="B12" s="27">
        <f>IF(A12="","",COA!B12)</f>
        <v/>
      </c>
      <c r="C12" s="27">
        <f>IF(A12="","",COA!C12)</f>
        <v/>
      </c>
      <c r="D12" s="30">
        <f>IF(A12="","",SUMIFS(JURNAL!$F$6:$F$85,JURNAL!$C$6:$C$85,A12,JURNAL!$A$6:$A$85,"&lt;="&amp;PARAMETER!$C$8))</f>
        <v/>
      </c>
      <c r="E12" s="30">
        <f>IF(A12="","",SUMIFS(JURNAL!$G$6:$G$85,JURNAL!$C$6:$C$85,A12,JURNAL!$A$6:$A$85,"&lt;="&amp;PARAMETER!$C$8))</f>
        <v/>
      </c>
      <c r="F12" s="30">
        <f>IF(A12="","",MAX(0,D12-E12))</f>
        <v/>
      </c>
      <c r="G12" s="30">
        <f>IF(A12="","",MAX(0,E12-D12))</f>
        <v/>
      </c>
    </row>
    <row r="13">
      <c r="A13" s="29">
        <f>IF(COA!A13="","",COA!A13)</f>
        <v/>
      </c>
      <c r="B13" s="27">
        <f>IF(A13="","",COA!B13)</f>
        <v/>
      </c>
      <c r="C13" s="27">
        <f>IF(A13="","",COA!C13)</f>
        <v/>
      </c>
      <c r="D13" s="30">
        <f>IF(A13="","",SUMIFS(JURNAL!$F$6:$F$85,JURNAL!$C$6:$C$85,A13,JURNAL!$A$6:$A$85,"&lt;="&amp;PARAMETER!$C$8))</f>
        <v/>
      </c>
      <c r="E13" s="30">
        <f>IF(A13="","",SUMIFS(JURNAL!$G$6:$G$85,JURNAL!$C$6:$C$85,A13,JURNAL!$A$6:$A$85,"&lt;="&amp;PARAMETER!$C$8))</f>
        <v/>
      </c>
      <c r="F13" s="30">
        <f>IF(A13="","",MAX(0,D13-E13))</f>
        <v/>
      </c>
      <c r="G13" s="30">
        <f>IF(A13="","",MAX(0,E13-D13))</f>
        <v/>
      </c>
    </row>
    <row r="14">
      <c r="A14" s="29">
        <f>IF(COA!A14="","",COA!A14)</f>
        <v/>
      </c>
      <c r="B14" s="27">
        <f>IF(A14="","",COA!B14)</f>
        <v/>
      </c>
      <c r="C14" s="27">
        <f>IF(A14="","",COA!C14)</f>
        <v/>
      </c>
      <c r="D14" s="30">
        <f>IF(A14="","",SUMIFS(JURNAL!$F$6:$F$85,JURNAL!$C$6:$C$85,A14,JURNAL!$A$6:$A$85,"&lt;="&amp;PARAMETER!$C$8))</f>
        <v/>
      </c>
      <c r="E14" s="30">
        <f>IF(A14="","",SUMIFS(JURNAL!$G$6:$G$85,JURNAL!$C$6:$C$85,A14,JURNAL!$A$6:$A$85,"&lt;="&amp;PARAMETER!$C$8))</f>
        <v/>
      </c>
      <c r="F14" s="30">
        <f>IF(A14="","",MAX(0,D14-E14))</f>
        <v/>
      </c>
      <c r="G14" s="30">
        <f>IF(A14="","",MAX(0,E14-D14))</f>
        <v/>
      </c>
    </row>
    <row r="15">
      <c r="A15" s="29">
        <f>IF(COA!A15="","",COA!A15)</f>
        <v/>
      </c>
      <c r="B15" s="27">
        <f>IF(A15="","",COA!B15)</f>
        <v/>
      </c>
      <c r="C15" s="27">
        <f>IF(A15="","",COA!C15)</f>
        <v/>
      </c>
      <c r="D15" s="30">
        <f>IF(A15="","",SUMIFS(JURNAL!$F$6:$F$85,JURNAL!$C$6:$C$85,A15,JURNAL!$A$6:$A$85,"&lt;="&amp;PARAMETER!$C$8))</f>
        <v/>
      </c>
      <c r="E15" s="30">
        <f>IF(A15="","",SUMIFS(JURNAL!$G$6:$G$85,JURNAL!$C$6:$C$85,A15,JURNAL!$A$6:$A$85,"&lt;="&amp;PARAMETER!$C$8))</f>
        <v/>
      </c>
      <c r="F15" s="30">
        <f>IF(A15="","",MAX(0,D15-E15))</f>
        <v/>
      </c>
      <c r="G15" s="30">
        <f>IF(A15="","",MAX(0,E15-D15))</f>
        <v/>
      </c>
    </row>
    <row r="16">
      <c r="A16" s="29">
        <f>IF(COA!A16="","",COA!A16)</f>
        <v/>
      </c>
      <c r="B16" s="27">
        <f>IF(A16="","",COA!B16)</f>
        <v/>
      </c>
      <c r="C16" s="27">
        <f>IF(A16="","",COA!C16)</f>
        <v/>
      </c>
      <c r="D16" s="30">
        <f>IF(A16="","",SUMIFS(JURNAL!$F$6:$F$85,JURNAL!$C$6:$C$85,A16,JURNAL!$A$6:$A$85,"&lt;="&amp;PARAMETER!$C$8))</f>
        <v/>
      </c>
      <c r="E16" s="30">
        <f>IF(A16="","",SUMIFS(JURNAL!$G$6:$G$85,JURNAL!$C$6:$C$85,A16,JURNAL!$A$6:$A$85,"&lt;="&amp;PARAMETER!$C$8))</f>
        <v/>
      </c>
      <c r="F16" s="30">
        <f>IF(A16="","",MAX(0,D16-E16))</f>
        <v/>
      </c>
      <c r="G16" s="30">
        <f>IF(A16="","",MAX(0,E16-D16))</f>
        <v/>
      </c>
    </row>
    <row r="17">
      <c r="A17" s="29">
        <f>IF(COA!A17="","",COA!A17)</f>
        <v/>
      </c>
      <c r="B17" s="27">
        <f>IF(A17="","",COA!B17)</f>
        <v/>
      </c>
      <c r="C17" s="27">
        <f>IF(A17="","",COA!C17)</f>
        <v/>
      </c>
      <c r="D17" s="30">
        <f>IF(A17="","",SUMIFS(JURNAL!$F$6:$F$85,JURNAL!$C$6:$C$85,A17,JURNAL!$A$6:$A$85,"&lt;="&amp;PARAMETER!$C$8))</f>
        <v/>
      </c>
      <c r="E17" s="30">
        <f>IF(A17="","",SUMIFS(JURNAL!$G$6:$G$85,JURNAL!$C$6:$C$85,A17,JURNAL!$A$6:$A$85,"&lt;="&amp;PARAMETER!$C$8))</f>
        <v/>
      </c>
      <c r="F17" s="30">
        <f>IF(A17="","",MAX(0,D17-E17))</f>
        <v/>
      </c>
      <c r="G17" s="30">
        <f>IF(A17="","",MAX(0,E17-D17))</f>
        <v/>
      </c>
    </row>
    <row r="18">
      <c r="A18" s="29">
        <f>IF(COA!A18="","",COA!A18)</f>
        <v/>
      </c>
      <c r="B18" s="27">
        <f>IF(A18="","",COA!B18)</f>
        <v/>
      </c>
      <c r="C18" s="27">
        <f>IF(A18="","",COA!C18)</f>
        <v/>
      </c>
      <c r="D18" s="30">
        <f>IF(A18="","",SUMIFS(JURNAL!$F$6:$F$85,JURNAL!$C$6:$C$85,A18,JURNAL!$A$6:$A$85,"&lt;="&amp;PARAMETER!$C$8))</f>
        <v/>
      </c>
      <c r="E18" s="30">
        <f>IF(A18="","",SUMIFS(JURNAL!$G$6:$G$85,JURNAL!$C$6:$C$85,A18,JURNAL!$A$6:$A$85,"&lt;="&amp;PARAMETER!$C$8))</f>
        <v/>
      </c>
      <c r="F18" s="30">
        <f>IF(A18="","",MAX(0,D18-E18))</f>
        <v/>
      </c>
      <c r="G18" s="30">
        <f>IF(A18="","",MAX(0,E18-D18))</f>
        <v/>
      </c>
    </row>
    <row r="19">
      <c r="A19" s="29">
        <f>IF(COA!A19="","",COA!A19)</f>
        <v/>
      </c>
      <c r="B19" s="27">
        <f>IF(A19="","",COA!B19)</f>
        <v/>
      </c>
      <c r="C19" s="27">
        <f>IF(A19="","",COA!C19)</f>
        <v/>
      </c>
      <c r="D19" s="30">
        <f>IF(A19="","",SUMIFS(JURNAL!$F$6:$F$85,JURNAL!$C$6:$C$85,A19,JURNAL!$A$6:$A$85,"&lt;="&amp;PARAMETER!$C$8))</f>
        <v/>
      </c>
      <c r="E19" s="30">
        <f>IF(A19="","",SUMIFS(JURNAL!$G$6:$G$85,JURNAL!$C$6:$C$85,A19,JURNAL!$A$6:$A$85,"&lt;="&amp;PARAMETER!$C$8))</f>
        <v/>
      </c>
      <c r="F19" s="30">
        <f>IF(A19="","",MAX(0,D19-E19))</f>
        <v/>
      </c>
      <c r="G19" s="30">
        <f>IF(A19="","",MAX(0,E19-D19))</f>
        <v/>
      </c>
    </row>
    <row r="20">
      <c r="A20" s="29">
        <f>IF(COA!A20="","",COA!A20)</f>
        <v/>
      </c>
      <c r="B20" s="27">
        <f>IF(A20="","",COA!B20)</f>
        <v/>
      </c>
      <c r="C20" s="27">
        <f>IF(A20="","",COA!C20)</f>
        <v/>
      </c>
      <c r="D20" s="30">
        <f>IF(A20="","",SUMIFS(JURNAL!$F$6:$F$85,JURNAL!$C$6:$C$85,A20,JURNAL!$A$6:$A$85,"&lt;="&amp;PARAMETER!$C$8))</f>
        <v/>
      </c>
      <c r="E20" s="30">
        <f>IF(A20="","",SUMIFS(JURNAL!$G$6:$G$85,JURNAL!$C$6:$C$85,A20,JURNAL!$A$6:$A$85,"&lt;="&amp;PARAMETER!$C$8))</f>
        <v/>
      </c>
      <c r="F20" s="30">
        <f>IF(A20="","",MAX(0,D20-E20))</f>
        <v/>
      </c>
      <c r="G20" s="30">
        <f>IF(A20="","",MAX(0,E20-D20))</f>
        <v/>
      </c>
    </row>
    <row r="21">
      <c r="A21" s="29">
        <f>IF(COA!A21="","",COA!A21)</f>
        <v/>
      </c>
      <c r="B21" s="27">
        <f>IF(A21="","",COA!B21)</f>
        <v/>
      </c>
      <c r="C21" s="27">
        <f>IF(A21="","",COA!C21)</f>
        <v/>
      </c>
      <c r="D21" s="30">
        <f>IF(A21="","",SUMIFS(JURNAL!$F$6:$F$85,JURNAL!$C$6:$C$85,A21,JURNAL!$A$6:$A$85,"&lt;="&amp;PARAMETER!$C$8))</f>
        <v/>
      </c>
      <c r="E21" s="30">
        <f>IF(A21="","",SUMIFS(JURNAL!$G$6:$G$85,JURNAL!$C$6:$C$85,A21,JURNAL!$A$6:$A$85,"&lt;="&amp;PARAMETER!$C$8))</f>
        <v/>
      </c>
      <c r="F21" s="30">
        <f>IF(A21="","",MAX(0,D21-E21))</f>
        <v/>
      </c>
      <c r="G21" s="30">
        <f>IF(A21="","",MAX(0,E21-D21))</f>
        <v/>
      </c>
    </row>
    <row r="22">
      <c r="A22" s="29">
        <f>IF(COA!A22="","",COA!A22)</f>
        <v/>
      </c>
      <c r="B22" s="27">
        <f>IF(A22="","",COA!B22)</f>
        <v/>
      </c>
      <c r="C22" s="27">
        <f>IF(A22="","",COA!C22)</f>
        <v/>
      </c>
      <c r="D22" s="30">
        <f>IF(A22="","",SUMIFS(JURNAL!$F$6:$F$85,JURNAL!$C$6:$C$85,A22,JURNAL!$A$6:$A$85,"&lt;="&amp;PARAMETER!$C$8))</f>
        <v/>
      </c>
      <c r="E22" s="30">
        <f>IF(A22="","",SUMIFS(JURNAL!$G$6:$G$85,JURNAL!$C$6:$C$85,A22,JURNAL!$A$6:$A$85,"&lt;="&amp;PARAMETER!$C$8))</f>
        <v/>
      </c>
      <c r="F22" s="30">
        <f>IF(A22="","",MAX(0,D22-E22))</f>
        <v/>
      </c>
      <c r="G22" s="30">
        <f>IF(A22="","",MAX(0,E22-D22))</f>
        <v/>
      </c>
    </row>
    <row r="23">
      <c r="A23" s="29">
        <f>IF(COA!A23="","",COA!A23)</f>
        <v/>
      </c>
      <c r="B23" s="27">
        <f>IF(A23="","",COA!B23)</f>
        <v/>
      </c>
      <c r="C23" s="27">
        <f>IF(A23="","",COA!C23)</f>
        <v/>
      </c>
      <c r="D23" s="30">
        <f>IF(A23="","",SUMIFS(JURNAL!$F$6:$F$85,JURNAL!$C$6:$C$85,A23,JURNAL!$A$6:$A$85,"&lt;="&amp;PARAMETER!$C$8))</f>
        <v/>
      </c>
      <c r="E23" s="30">
        <f>IF(A23="","",SUMIFS(JURNAL!$G$6:$G$85,JURNAL!$C$6:$C$85,A23,JURNAL!$A$6:$A$85,"&lt;="&amp;PARAMETER!$C$8))</f>
        <v/>
      </c>
      <c r="F23" s="30">
        <f>IF(A23="","",MAX(0,D23-E23))</f>
        <v/>
      </c>
      <c r="G23" s="30">
        <f>IF(A23="","",MAX(0,E23-D23))</f>
        <v/>
      </c>
    </row>
    <row r="24">
      <c r="A24" s="29">
        <f>IF(COA!A24="","",COA!A24)</f>
        <v/>
      </c>
      <c r="B24" s="27">
        <f>IF(A24="","",COA!B24)</f>
        <v/>
      </c>
      <c r="C24" s="27">
        <f>IF(A24="","",COA!C24)</f>
        <v/>
      </c>
      <c r="D24" s="30">
        <f>IF(A24="","",SUMIFS(JURNAL!$F$6:$F$85,JURNAL!$C$6:$C$85,A24,JURNAL!$A$6:$A$85,"&lt;="&amp;PARAMETER!$C$8))</f>
        <v/>
      </c>
      <c r="E24" s="30">
        <f>IF(A24="","",SUMIFS(JURNAL!$G$6:$G$85,JURNAL!$C$6:$C$85,A24,JURNAL!$A$6:$A$85,"&lt;="&amp;PARAMETER!$C$8))</f>
        <v/>
      </c>
      <c r="F24" s="30">
        <f>IF(A24="","",MAX(0,D24-E24))</f>
        <v/>
      </c>
      <c r="G24" s="30">
        <f>IF(A24="","",MAX(0,E24-D24))</f>
        <v/>
      </c>
    </row>
    <row r="25">
      <c r="A25" s="29">
        <f>IF(COA!A25="","",COA!A25)</f>
        <v/>
      </c>
      <c r="B25" s="27">
        <f>IF(A25="","",COA!B25)</f>
        <v/>
      </c>
      <c r="C25" s="27">
        <f>IF(A25="","",COA!C25)</f>
        <v/>
      </c>
      <c r="D25" s="30">
        <f>IF(A25="","",SUMIFS(JURNAL!$F$6:$F$85,JURNAL!$C$6:$C$85,A25,JURNAL!$A$6:$A$85,"&lt;="&amp;PARAMETER!$C$8))</f>
        <v/>
      </c>
      <c r="E25" s="30">
        <f>IF(A25="","",SUMIFS(JURNAL!$G$6:$G$85,JURNAL!$C$6:$C$85,A25,JURNAL!$A$6:$A$85,"&lt;="&amp;PARAMETER!$C$8))</f>
        <v/>
      </c>
      <c r="F25" s="30">
        <f>IF(A25="","",MAX(0,D25-E25))</f>
        <v/>
      </c>
      <c r="G25" s="30">
        <f>IF(A25="","",MAX(0,E25-D25))</f>
        <v/>
      </c>
    </row>
    <row r="26">
      <c r="A26" s="29">
        <f>IF(COA!A26="","",COA!A26)</f>
        <v/>
      </c>
      <c r="B26" s="27">
        <f>IF(A26="","",COA!B26)</f>
        <v/>
      </c>
      <c r="C26" s="27">
        <f>IF(A26="","",COA!C26)</f>
        <v/>
      </c>
      <c r="D26" s="30">
        <f>IF(A26="","",SUMIFS(JURNAL!$F$6:$F$85,JURNAL!$C$6:$C$85,A26,JURNAL!$A$6:$A$85,"&lt;="&amp;PARAMETER!$C$8))</f>
        <v/>
      </c>
      <c r="E26" s="30">
        <f>IF(A26="","",SUMIFS(JURNAL!$G$6:$G$85,JURNAL!$C$6:$C$85,A26,JURNAL!$A$6:$A$85,"&lt;="&amp;PARAMETER!$C$8))</f>
        <v/>
      </c>
      <c r="F26" s="30">
        <f>IF(A26="","",MAX(0,D26-E26))</f>
        <v/>
      </c>
      <c r="G26" s="30">
        <f>IF(A26="","",MAX(0,E26-D26))</f>
        <v/>
      </c>
    </row>
    <row r="27">
      <c r="A27" s="29">
        <f>IF(COA!A27="","",COA!A27)</f>
        <v/>
      </c>
      <c r="B27" s="27">
        <f>IF(A27="","",COA!B27)</f>
        <v/>
      </c>
      <c r="C27" s="27">
        <f>IF(A27="","",COA!C27)</f>
        <v/>
      </c>
      <c r="D27" s="30">
        <f>IF(A27="","",SUMIFS(JURNAL!$F$6:$F$85,JURNAL!$C$6:$C$85,A27,JURNAL!$A$6:$A$85,"&lt;="&amp;PARAMETER!$C$8))</f>
        <v/>
      </c>
      <c r="E27" s="30">
        <f>IF(A27="","",SUMIFS(JURNAL!$G$6:$G$85,JURNAL!$C$6:$C$85,A27,JURNAL!$A$6:$A$85,"&lt;="&amp;PARAMETER!$C$8))</f>
        <v/>
      </c>
      <c r="F27" s="30">
        <f>IF(A27="","",MAX(0,D27-E27))</f>
        <v/>
      </c>
      <c r="G27" s="30">
        <f>IF(A27="","",MAX(0,E27-D27))</f>
        <v/>
      </c>
    </row>
    <row r="28">
      <c r="A28" s="29">
        <f>IF(COA!A28="","",COA!A28)</f>
        <v/>
      </c>
      <c r="B28" s="27">
        <f>IF(A28="","",COA!B28)</f>
        <v/>
      </c>
      <c r="C28" s="27">
        <f>IF(A28="","",COA!C28)</f>
        <v/>
      </c>
      <c r="D28" s="30">
        <f>IF(A28="","",SUMIFS(JURNAL!$F$6:$F$85,JURNAL!$C$6:$C$85,A28,JURNAL!$A$6:$A$85,"&lt;="&amp;PARAMETER!$C$8))</f>
        <v/>
      </c>
      <c r="E28" s="30">
        <f>IF(A28="","",SUMIFS(JURNAL!$G$6:$G$85,JURNAL!$C$6:$C$85,A28,JURNAL!$A$6:$A$85,"&lt;="&amp;PARAMETER!$C$8))</f>
        <v/>
      </c>
      <c r="F28" s="30">
        <f>IF(A28="","",MAX(0,D28-E28))</f>
        <v/>
      </c>
      <c r="G28" s="30">
        <f>IF(A28="","",MAX(0,E28-D28))</f>
        <v/>
      </c>
    </row>
    <row r="29">
      <c r="A29" s="29">
        <f>IF(COA!A29="","",COA!A29)</f>
        <v/>
      </c>
      <c r="B29" s="27">
        <f>IF(A29="","",COA!B29)</f>
        <v/>
      </c>
      <c r="C29" s="27">
        <f>IF(A29="","",COA!C29)</f>
        <v/>
      </c>
      <c r="D29" s="30">
        <f>IF(A29="","",SUMIFS(JURNAL!$F$6:$F$85,JURNAL!$C$6:$C$85,A29,JURNAL!$A$6:$A$85,"&lt;="&amp;PARAMETER!$C$8))</f>
        <v/>
      </c>
      <c r="E29" s="30">
        <f>IF(A29="","",SUMIFS(JURNAL!$G$6:$G$85,JURNAL!$C$6:$C$85,A29,JURNAL!$A$6:$A$85,"&lt;="&amp;PARAMETER!$C$8))</f>
        <v/>
      </c>
      <c r="F29" s="30">
        <f>IF(A29="","",MAX(0,D29-E29))</f>
        <v/>
      </c>
      <c r="G29" s="30">
        <f>IF(A29="","",MAX(0,E29-D29))</f>
        <v/>
      </c>
    </row>
    <row r="30">
      <c r="A30" s="29">
        <f>IF(COA!A30="","",COA!A30)</f>
        <v/>
      </c>
      <c r="B30" s="27">
        <f>IF(A30="","",COA!B30)</f>
        <v/>
      </c>
      <c r="C30" s="27">
        <f>IF(A30="","",COA!C30)</f>
        <v/>
      </c>
      <c r="D30" s="30">
        <f>IF(A30="","",SUMIFS(JURNAL!$F$6:$F$85,JURNAL!$C$6:$C$85,A30,JURNAL!$A$6:$A$85,"&lt;="&amp;PARAMETER!$C$8))</f>
        <v/>
      </c>
      <c r="E30" s="30">
        <f>IF(A30="","",SUMIFS(JURNAL!$G$6:$G$85,JURNAL!$C$6:$C$85,A30,JURNAL!$A$6:$A$85,"&lt;="&amp;PARAMETER!$C$8))</f>
        <v/>
      </c>
      <c r="F30" s="30">
        <f>IF(A30="","",MAX(0,D30-E30))</f>
        <v/>
      </c>
      <c r="G30" s="30">
        <f>IF(A30="","",MAX(0,E30-D30))</f>
        <v/>
      </c>
    </row>
    <row r="31">
      <c r="A31" s="29">
        <f>IF(COA!A31="","",COA!A31)</f>
        <v/>
      </c>
      <c r="B31" s="27">
        <f>IF(A31="","",COA!B31)</f>
        <v/>
      </c>
      <c r="C31" s="27">
        <f>IF(A31="","",COA!C31)</f>
        <v/>
      </c>
      <c r="D31" s="30">
        <f>IF(A31="","",SUMIFS(JURNAL!$F$6:$F$85,JURNAL!$C$6:$C$85,A31,JURNAL!$A$6:$A$85,"&lt;="&amp;PARAMETER!$C$8))</f>
        <v/>
      </c>
      <c r="E31" s="30">
        <f>IF(A31="","",SUMIFS(JURNAL!$G$6:$G$85,JURNAL!$C$6:$C$85,A31,JURNAL!$A$6:$A$85,"&lt;="&amp;PARAMETER!$C$8))</f>
        <v/>
      </c>
      <c r="F31" s="30">
        <f>IF(A31="","",MAX(0,D31-E31))</f>
        <v/>
      </c>
      <c r="G31" s="30">
        <f>IF(A31="","",MAX(0,E31-D31))</f>
        <v/>
      </c>
    </row>
    <row r="32">
      <c r="A32" s="29">
        <f>IF(COA!A32="","",COA!A32)</f>
        <v/>
      </c>
      <c r="B32" s="27">
        <f>IF(A32="","",COA!B32)</f>
        <v/>
      </c>
      <c r="C32" s="27">
        <f>IF(A32="","",COA!C32)</f>
        <v/>
      </c>
      <c r="D32" s="30">
        <f>IF(A32="","",SUMIFS(JURNAL!$F$6:$F$85,JURNAL!$C$6:$C$85,A32,JURNAL!$A$6:$A$85,"&lt;="&amp;PARAMETER!$C$8))</f>
        <v/>
      </c>
      <c r="E32" s="30">
        <f>IF(A32="","",SUMIFS(JURNAL!$G$6:$G$85,JURNAL!$C$6:$C$85,A32,JURNAL!$A$6:$A$85,"&lt;="&amp;PARAMETER!$C$8))</f>
        <v/>
      </c>
      <c r="F32" s="30">
        <f>IF(A32="","",MAX(0,D32-E32))</f>
        <v/>
      </c>
      <c r="G32" s="30">
        <f>IF(A32="","",MAX(0,E32-D32))</f>
        <v/>
      </c>
    </row>
    <row r="33">
      <c r="A33" s="29">
        <f>IF(COA!A33="","",COA!A33)</f>
        <v/>
      </c>
      <c r="B33" s="27">
        <f>IF(A33="","",COA!B33)</f>
        <v/>
      </c>
      <c r="C33" s="27">
        <f>IF(A33="","",COA!C33)</f>
        <v/>
      </c>
      <c r="D33" s="30">
        <f>IF(A33="","",SUMIFS(JURNAL!$F$6:$F$85,JURNAL!$C$6:$C$85,A33,JURNAL!$A$6:$A$85,"&lt;="&amp;PARAMETER!$C$8))</f>
        <v/>
      </c>
      <c r="E33" s="30">
        <f>IF(A33="","",SUMIFS(JURNAL!$G$6:$G$85,JURNAL!$C$6:$C$85,A33,JURNAL!$A$6:$A$85,"&lt;="&amp;PARAMETER!$C$8))</f>
        <v/>
      </c>
      <c r="F33" s="30">
        <f>IF(A33="","",MAX(0,D33-E33))</f>
        <v/>
      </c>
      <c r="G33" s="30">
        <f>IF(A33="","",MAX(0,E33-D33))</f>
        <v/>
      </c>
    </row>
    <row r="34">
      <c r="A34" s="29">
        <f>IF(COA!A34="","",COA!A34)</f>
        <v/>
      </c>
      <c r="B34" s="27">
        <f>IF(A34="","",COA!B34)</f>
        <v/>
      </c>
      <c r="C34" s="27">
        <f>IF(A34="","",COA!C34)</f>
        <v/>
      </c>
      <c r="D34" s="30">
        <f>IF(A34="","",SUMIFS(JURNAL!$F$6:$F$85,JURNAL!$C$6:$C$85,A34,JURNAL!$A$6:$A$85,"&lt;="&amp;PARAMETER!$C$8))</f>
        <v/>
      </c>
      <c r="E34" s="30">
        <f>IF(A34="","",SUMIFS(JURNAL!$G$6:$G$85,JURNAL!$C$6:$C$85,A34,JURNAL!$A$6:$A$85,"&lt;="&amp;PARAMETER!$C$8))</f>
        <v/>
      </c>
      <c r="F34" s="30">
        <f>IF(A34="","",MAX(0,D34-E34))</f>
        <v/>
      </c>
      <c r="G34" s="30">
        <f>IF(A34="","",MAX(0,E34-D34))</f>
        <v/>
      </c>
    </row>
    <row r="35">
      <c r="A35" s="29">
        <f>IF(COA!A35="","",COA!A35)</f>
        <v/>
      </c>
      <c r="B35" s="27">
        <f>IF(A35="","",COA!B35)</f>
        <v/>
      </c>
      <c r="C35" s="27">
        <f>IF(A35="","",COA!C35)</f>
        <v/>
      </c>
      <c r="D35" s="30">
        <f>IF(A35="","",SUMIFS(JURNAL!$F$6:$F$85,JURNAL!$C$6:$C$85,A35,JURNAL!$A$6:$A$85,"&lt;="&amp;PARAMETER!$C$8))</f>
        <v/>
      </c>
      <c r="E35" s="30">
        <f>IF(A35="","",SUMIFS(JURNAL!$G$6:$G$85,JURNAL!$C$6:$C$85,A35,JURNAL!$A$6:$A$85,"&lt;="&amp;PARAMETER!$C$8))</f>
        <v/>
      </c>
      <c r="F35" s="30">
        <f>IF(A35="","",MAX(0,D35-E35))</f>
        <v/>
      </c>
      <c r="G35" s="30">
        <f>IF(A35="","",MAX(0,E35-D35))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G3"/>
  </mergeCells>
  <conditionalFormatting sqref="H4">
    <cfRule type="cellIs" priority="1" operator="equal" dxfId="0">
      <formula>"SELISIH"</formula>
    </cfRule>
    <cfRule type="cellIs" priority="2" operator="equal" dxfId="1">
      <formula>"SEIMBANG"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22" customWidth="1" min="3" max="3"/>
    <col width="16" customWidth="1" min="4" max="4"/>
  </cols>
  <sheetData>
    <row r="1" ht="24" customHeight="1">
      <c r="A1" s="13" t="inlineStr">
        <is>
          <t>Laporan Laba Rugi</t>
        </is>
      </c>
    </row>
    <row r="2">
      <c r="A2" s="14">
        <f>PARAMETER!C5&amp;"  |  Periode "&amp;TEXT(PARAMETER!C7,"dd mmm yyyy")&amp;" s.d. "&amp;TEXT(PARAMETER!C8,"dd mmm yyyy")&amp;"  |  dalam Rupiah"</f>
        <v/>
      </c>
    </row>
    <row r="3">
      <c r="A3" s="15" t="inlineStr">
        <is>
          <t>VERSI DEMO: kapasitas &amp; fitur dibatasi, data simulasi. Versi lengkap: WhatsApp 089623291732</t>
        </is>
      </c>
    </row>
    <row r="5" ht="30" customHeight="1">
      <c r="A5" s="20" t="inlineStr">
        <is>
          <t>Uraian</t>
        </is>
      </c>
      <c r="B5" s="20" t="inlineStr">
        <is>
          <t>Kode</t>
        </is>
      </c>
      <c r="C5" s="20" t="inlineStr">
        <is>
          <t>Jumlah (Rp)</t>
        </is>
      </c>
      <c r="D5" s="20" t="inlineStr">
        <is>
          <t>% Pendapatan</t>
        </is>
      </c>
    </row>
    <row r="6">
      <c r="A6" s="6" t="inlineStr">
        <is>
          <t>PENDAPATAN USAHA</t>
        </is>
      </c>
      <c r="B6" s="7" t="n"/>
      <c r="C6" s="7" t="n"/>
      <c r="D6" s="7" t="n"/>
    </row>
    <row r="7">
      <c r="A7" s="27" t="inlineStr">
        <is>
          <t>Penjualan</t>
        </is>
      </c>
      <c r="B7" s="29" t="n">
        <v>4101</v>
      </c>
      <c r="C7" s="30">
        <f>-(SUMIFS(JURNAL!$F$6:$F$85,JURNAL!$C$6:$C$85,4101,JURNAL!$A$6:$A$85,"&gt;="&amp;PARAMETER!$C$7,JURNAL!$A$6:$A$85,"&lt;="&amp;PARAMETER!$C$8)-SUMIFS(JURNAL!$G$6:$G$85,JURNAL!$C$6:$C$85,4101,JURNAL!$A$6:$A$85,"&gt;="&amp;PARAMETER!$C$7,JURNAL!$A$6:$A$85,"&lt;="&amp;PARAMETER!$C$8))</f>
        <v/>
      </c>
      <c r="D7" s="31">
        <f>IF($C$10=0,0,C7/$C$10)</f>
        <v/>
      </c>
    </row>
    <row r="8">
      <c r="A8" s="27" t="inlineStr">
        <is>
          <t>Retur &amp; Potongan Penjualan</t>
        </is>
      </c>
      <c r="B8" s="29" t="n">
        <v>4102</v>
      </c>
      <c r="C8" s="30">
        <f>-(SUMIFS(JURNAL!$F$6:$F$85,JURNAL!$C$6:$C$85,4102,JURNAL!$A$6:$A$85,"&gt;="&amp;PARAMETER!$C$7,JURNAL!$A$6:$A$85,"&lt;="&amp;PARAMETER!$C$8)-SUMIFS(JURNAL!$G$6:$G$85,JURNAL!$C$6:$C$85,4102,JURNAL!$A$6:$A$85,"&gt;="&amp;PARAMETER!$C$7,JURNAL!$A$6:$A$85,"&lt;="&amp;PARAMETER!$C$8))</f>
        <v/>
      </c>
      <c r="D8" s="31">
        <f>IF($C$10=0,0,C8/$C$10)</f>
        <v/>
      </c>
    </row>
    <row r="9">
      <c r="A9" s="27" t="inlineStr">
        <is>
          <t>Pendapatan usaha lainnya</t>
        </is>
      </c>
      <c r="B9" s="29" t="n"/>
      <c r="C9" s="30">
        <f>-(SUMIFS(JURNAL!$F$6:$F$85,JURNAL!$J$6:$J$85,"Pendapatan Usaha",JURNAL!$A$6:$A$85,"&gt;="&amp;PARAMETER!$C$7,JURNAL!$A$6:$A$85,"&lt;="&amp;PARAMETER!$C$8)-SUMIFS(JURNAL!$G$6:$G$85,JURNAL!$J$6:$J$85,"Pendapatan Usaha",JURNAL!$A$6:$A$85,"&gt;="&amp;PARAMETER!$C$7,JURNAL!$A$6:$A$85,"&lt;="&amp;PARAMETER!$C$8))-C7-C8</f>
        <v/>
      </c>
      <c r="D9" s="31">
        <f>IF($C$10=0,0,C9/$C$10)</f>
        <v/>
      </c>
    </row>
    <row r="10">
      <c r="A10" s="32" t="inlineStr">
        <is>
          <t>PENDAPATAN USAHA NETO</t>
        </is>
      </c>
      <c r="B10" s="33" t="n"/>
      <c r="C10" s="34">
        <f>SUM(C7:C9)</f>
        <v/>
      </c>
      <c r="D10" s="35">
        <f>IF($C$10=0,0,C10/$C$10)</f>
        <v/>
      </c>
    </row>
    <row r="11">
      <c r="A11" s="6" t="inlineStr">
        <is>
          <t>HARGA POKOK PENJUALAN</t>
        </is>
      </c>
      <c r="B11" s="7" t="n"/>
      <c r="C11" s="7" t="n"/>
      <c r="D11" s="7" t="n"/>
    </row>
    <row r="12">
      <c r="A12" s="27" t="inlineStr">
        <is>
          <t>Harga Pokok Penjualan</t>
        </is>
      </c>
      <c r="B12" s="29" t="n">
        <v>5101</v>
      </c>
      <c r="C12" s="30">
        <f>(SUMIFS(JURNAL!$F$6:$F$85,JURNAL!$C$6:$C$85,5101,JURNAL!$A$6:$A$85,"&gt;="&amp;PARAMETER!$C$7,JURNAL!$A$6:$A$85,"&lt;="&amp;PARAMETER!$C$8)-SUMIFS(JURNAL!$G$6:$G$85,JURNAL!$C$6:$C$85,5101,JURNAL!$A$6:$A$85,"&gt;="&amp;PARAMETER!$C$7,JURNAL!$A$6:$A$85,"&lt;="&amp;PARAMETER!$C$8))</f>
        <v/>
      </c>
      <c r="D12" s="31">
        <f>IF($C$10=0,0,C12/$C$10)</f>
        <v/>
      </c>
    </row>
    <row r="13">
      <c r="A13" s="27" t="inlineStr">
        <is>
          <t>HPP lainnya</t>
        </is>
      </c>
      <c r="B13" s="29" t="n"/>
      <c r="C13" s="30">
        <f>(SUMIFS(JURNAL!$F$6:$F$85,JURNAL!$J$6:$J$85,"HPP",JURNAL!$A$6:$A$85,"&gt;="&amp;PARAMETER!$C$7,JURNAL!$A$6:$A$85,"&lt;="&amp;PARAMETER!$C$8)-SUMIFS(JURNAL!$G$6:$G$85,JURNAL!$J$6:$J$85,"HPP",JURNAL!$A$6:$A$85,"&gt;="&amp;PARAMETER!$C$7,JURNAL!$A$6:$A$85,"&lt;="&amp;PARAMETER!$C$8))-C12</f>
        <v/>
      </c>
      <c r="D13" s="31">
        <f>IF($C$10=0,0,C13/$C$10)</f>
        <v/>
      </c>
    </row>
    <row r="14">
      <c r="A14" s="32" t="inlineStr">
        <is>
          <t>TOTAL HPP</t>
        </is>
      </c>
      <c r="B14" s="33" t="n"/>
      <c r="C14" s="34">
        <f>SUM(C12:C13)</f>
        <v/>
      </c>
      <c r="D14" s="35">
        <f>IF($C$10=0,0,C14/$C$10)</f>
        <v/>
      </c>
    </row>
    <row r="15">
      <c r="A15" s="32" t="inlineStr">
        <is>
          <t>LABA KOTOR</t>
        </is>
      </c>
      <c r="B15" s="33" t="n"/>
      <c r="C15" s="34">
        <f>C10-C14</f>
        <v/>
      </c>
      <c r="D15" s="35">
        <f>IF($C$10=0,0,C15/$C$10)</f>
        <v/>
      </c>
    </row>
    <row r="16">
      <c r="A16" s="36" t="inlineStr">
        <is>
          <t>Margin laba kotor</t>
        </is>
      </c>
      <c r="B16" s="27" t="n"/>
      <c r="C16" s="31">
        <f>IF(C10=0,0,C15/C10)</f>
        <v/>
      </c>
      <c r="D16" s="27" t="n"/>
    </row>
    <row r="17">
      <c r="A17" s="6" t="inlineStr">
        <is>
          <t>BEBAN OPERASIONAL</t>
        </is>
      </c>
      <c r="B17" s="7" t="n"/>
      <c r="C17" s="7" t="n"/>
      <c r="D17" s="7" t="n"/>
    </row>
    <row r="18">
      <c r="A18" s="27" t="inlineStr">
        <is>
          <t>Beban Gaji</t>
        </is>
      </c>
      <c r="B18" s="29" t="n">
        <v>6101</v>
      </c>
      <c r="C18" s="30">
        <f>(SUMIFS(JURNAL!$F$6:$F$85,JURNAL!$C$6:$C$85,6101,JURNAL!$A$6:$A$85,"&gt;="&amp;PARAMETER!$C$7,JURNAL!$A$6:$A$85,"&lt;="&amp;PARAMETER!$C$8)-SUMIFS(JURNAL!$G$6:$G$85,JURNAL!$C$6:$C$85,6101,JURNAL!$A$6:$A$85,"&gt;="&amp;PARAMETER!$C$7,JURNAL!$A$6:$A$85,"&lt;="&amp;PARAMETER!$C$8))</f>
        <v/>
      </c>
      <c r="D18" s="31">
        <f>IF($C$10=0,0,C18/$C$10)</f>
        <v/>
      </c>
    </row>
    <row r="19">
      <c r="A19" s="27" t="inlineStr">
        <is>
          <t>Beban Sewa</t>
        </is>
      </c>
      <c r="B19" s="29" t="n">
        <v>6102</v>
      </c>
      <c r="C19" s="30">
        <f>(SUMIFS(JURNAL!$F$6:$F$85,JURNAL!$C$6:$C$85,6102,JURNAL!$A$6:$A$85,"&gt;="&amp;PARAMETER!$C$7,JURNAL!$A$6:$A$85,"&lt;="&amp;PARAMETER!$C$8)-SUMIFS(JURNAL!$G$6:$G$85,JURNAL!$C$6:$C$85,6102,JURNAL!$A$6:$A$85,"&gt;="&amp;PARAMETER!$C$7,JURNAL!$A$6:$A$85,"&lt;="&amp;PARAMETER!$C$8))</f>
        <v/>
      </c>
      <c r="D19" s="31">
        <f>IF($C$10=0,0,C19/$C$10)</f>
        <v/>
      </c>
    </row>
    <row r="20">
      <c r="A20" s="27" t="inlineStr">
        <is>
          <t>Beban Listrik &amp; Air</t>
        </is>
      </c>
      <c r="B20" s="29" t="n">
        <v>6103</v>
      </c>
      <c r="C20" s="30">
        <f>(SUMIFS(JURNAL!$F$6:$F$85,JURNAL!$C$6:$C$85,6103,JURNAL!$A$6:$A$85,"&gt;="&amp;PARAMETER!$C$7,JURNAL!$A$6:$A$85,"&lt;="&amp;PARAMETER!$C$8)-SUMIFS(JURNAL!$G$6:$G$85,JURNAL!$C$6:$C$85,6103,JURNAL!$A$6:$A$85,"&gt;="&amp;PARAMETER!$C$7,JURNAL!$A$6:$A$85,"&lt;="&amp;PARAMETER!$C$8))</f>
        <v/>
      </c>
      <c r="D20" s="31">
        <f>IF($C$10=0,0,C20/$C$10)</f>
        <v/>
      </c>
    </row>
    <row r="21">
      <c r="A21" s="27" t="inlineStr">
        <is>
          <t>Beban Pemasaran</t>
        </is>
      </c>
      <c r="B21" s="29" t="n">
        <v>6104</v>
      </c>
      <c r="C21" s="30">
        <f>(SUMIFS(JURNAL!$F$6:$F$85,JURNAL!$C$6:$C$85,6104,JURNAL!$A$6:$A$85,"&gt;="&amp;PARAMETER!$C$7,JURNAL!$A$6:$A$85,"&lt;="&amp;PARAMETER!$C$8)-SUMIFS(JURNAL!$G$6:$G$85,JURNAL!$C$6:$C$85,6104,JURNAL!$A$6:$A$85,"&gt;="&amp;PARAMETER!$C$7,JURNAL!$A$6:$A$85,"&lt;="&amp;PARAMETER!$C$8))</f>
        <v/>
      </c>
      <c r="D21" s="31">
        <f>IF($C$10=0,0,C21/$C$10)</f>
        <v/>
      </c>
    </row>
    <row r="22">
      <c r="A22" s="27" t="inlineStr">
        <is>
          <t>Beban Penyusutan</t>
        </is>
      </c>
      <c r="B22" s="29" t="n">
        <v>6105</v>
      </c>
      <c r="C22" s="30">
        <f>(SUMIFS(JURNAL!$F$6:$F$85,JURNAL!$C$6:$C$85,6105,JURNAL!$A$6:$A$85,"&gt;="&amp;PARAMETER!$C$7,JURNAL!$A$6:$A$85,"&lt;="&amp;PARAMETER!$C$8)-SUMIFS(JURNAL!$G$6:$G$85,JURNAL!$C$6:$C$85,6105,JURNAL!$A$6:$A$85,"&gt;="&amp;PARAMETER!$C$7,JURNAL!$A$6:$A$85,"&lt;="&amp;PARAMETER!$C$8))</f>
        <v/>
      </c>
      <c r="D22" s="31">
        <f>IF($C$10=0,0,C22/$C$10)</f>
        <v/>
      </c>
    </row>
    <row r="23">
      <c r="A23" s="27" t="inlineStr">
        <is>
          <t>Beban Administrasi &amp; Umum</t>
        </is>
      </c>
      <c r="B23" s="29" t="n">
        <v>6106</v>
      </c>
      <c r="C23" s="30">
        <f>(SUMIFS(JURNAL!$F$6:$F$85,JURNAL!$C$6:$C$85,6106,JURNAL!$A$6:$A$85,"&gt;="&amp;PARAMETER!$C$7,JURNAL!$A$6:$A$85,"&lt;="&amp;PARAMETER!$C$8)-SUMIFS(JURNAL!$G$6:$G$85,JURNAL!$C$6:$C$85,6106,JURNAL!$A$6:$A$85,"&gt;="&amp;PARAMETER!$C$7,JURNAL!$A$6:$A$85,"&lt;="&amp;PARAMETER!$C$8))</f>
        <v/>
      </c>
      <c r="D23" s="31">
        <f>IF($C$10=0,0,C23/$C$10)</f>
        <v/>
      </c>
    </row>
    <row r="24">
      <c r="A24" s="27" t="inlineStr">
        <is>
          <t>Beban operasional lainnya</t>
        </is>
      </c>
      <c r="B24" s="29" t="n"/>
      <c r="C24" s="30">
        <f>(SUMIFS(JURNAL!$F$6:$F$85,JURNAL!$J$6:$J$85,"Beban Operasional",JURNAL!$A$6:$A$85,"&gt;="&amp;PARAMETER!$C$7,JURNAL!$A$6:$A$85,"&lt;="&amp;PARAMETER!$C$8)-SUMIFS(JURNAL!$G$6:$G$85,JURNAL!$J$6:$J$85,"Beban Operasional",JURNAL!$A$6:$A$85,"&gt;="&amp;PARAMETER!$C$7,JURNAL!$A$6:$A$85,"&lt;="&amp;PARAMETER!$C$8))-SUM(C18:C23)</f>
        <v/>
      </c>
      <c r="D24" s="31">
        <f>IF($C$10=0,0,C24/$C$10)</f>
        <v/>
      </c>
    </row>
    <row r="25">
      <c r="A25" s="32" t="inlineStr">
        <is>
          <t>TOTAL BEBAN OPERASIONAL</t>
        </is>
      </c>
      <c r="B25" s="33" t="n"/>
      <c r="C25" s="34">
        <f>SUM(C18:C24)</f>
        <v/>
      </c>
      <c r="D25" s="35">
        <f>IF($C$10=0,0,C25/$C$10)</f>
        <v/>
      </c>
    </row>
    <row r="26">
      <c r="A26" s="32" t="inlineStr">
        <is>
          <t>LABA USAHA</t>
        </is>
      </c>
      <c r="B26" s="33" t="n"/>
      <c r="C26" s="34">
        <f>C15-C25</f>
        <v/>
      </c>
      <c r="D26" s="35">
        <f>IF($C$10=0,0,C26/$C$10)</f>
        <v/>
      </c>
    </row>
    <row r="27">
      <c r="A27" s="6" t="inlineStr">
        <is>
          <t>PENDAPATAN / (BEBAN) LAIN</t>
        </is>
      </c>
      <c r="B27" s="7" t="n"/>
      <c r="C27" s="7" t="n"/>
      <c r="D27" s="7" t="n"/>
    </row>
    <row r="28">
      <c r="A28" s="27" t="inlineStr">
        <is>
          <t>Pendapatan Bunga</t>
        </is>
      </c>
      <c r="B28" s="29" t="n">
        <v>7101</v>
      </c>
      <c r="C28" s="30">
        <f>-(SUMIFS(JURNAL!$F$6:$F$85,JURNAL!$C$6:$C$85,7101,JURNAL!$A$6:$A$85,"&gt;="&amp;PARAMETER!$C$7,JURNAL!$A$6:$A$85,"&lt;="&amp;PARAMETER!$C$8)-SUMIFS(JURNAL!$G$6:$G$85,JURNAL!$C$6:$C$85,7101,JURNAL!$A$6:$A$85,"&gt;="&amp;PARAMETER!$C$7,JURNAL!$A$6:$A$85,"&lt;="&amp;PARAMETER!$C$8))</f>
        <v/>
      </c>
      <c r="D28" s="31">
        <f>IF($C$10=0,0,C28/$C$10)</f>
        <v/>
      </c>
    </row>
    <row r="29">
      <c r="A29" s="27" t="inlineStr">
        <is>
          <t>Beban Bunga</t>
        </is>
      </c>
      <c r="B29" s="29" t="n">
        <v>7201</v>
      </c>
      <c r="C29" s="30">
        <f>(SUMIFS(JURNAL!$F$6:$F$85,JURNAL!$C$6:$C$85,7201,JURNAL!$A$6:$A$85,"&gt;="&amp;PARAMETER!$C$7,JURNAL!$A$6:$A$85,"&lt;="&amp;PARAMETER!$C$8)-SUMIFS(JURNAL!$G$6:$G$85,JURNAL!$C$6:$C$85,7201,JURNAL!$A$6:$A$85,"&gt;="&amp;PARAMETER!$C$7,JURNAL!$A$6:$A$85,"&lt;="&amp;PARAMETER!$C$8))</f>
        <v/>
      </c>
      <c r="D29" s="31">
        <f>IF($C$10=0,0,C29/$C$10)</f>
        <v/>
      </c>
    </row>
    <row r="30">
      <c r="A30" s="27" t="inlineStr">
        <is>
          <t>Pendapatan/(beban) lain lainnya</t>
        </is>
      </c>
      <c r="B30" s="29" t="n"/>
      <c r="C30" s="30">
        <f>-(SUMIFS(JURNAL!$F$6:$F$85,JURNAL!$J$6:$J$85,"Pendapatan/Beban Lain",JURNAL!$A$6:$A$85,"&gt;="&amp;PARAMETER!$C$7,JURNAL!$A$6:$A$85,"&lt;="&amp;PARAMETER!$C$8)-SUMIFS(JURNAL!$G$6:$G$85,JURNAL!$J$6:$J$85,"Pendapatan/Beban Lain",JURNAL!$A$6:$A$85,"&gt;="&amp;PARAMETER!$C$7,JURNAL!$A$6:$A$85,"&lt;="&amp;PARAMETER!$C$8))-(C28-C29)</f>
        <v/>
      </c>
      <c r="D30" s="31">
        <f>IF($C$10=0,0,C30/$C$10)</f>
        <v/>
      </c>
    </row>
    <row r="31">
      <c r="A31" s="32" t="inlineStr">
        <is>
          <t>TOTAL LAIN-LAIN (NETO)</t>
        </is>
      </c>
      <c r="B31" s="33" t="n"/>
      <c r="C31" s="34">
        <f>C28-C29+C30</f>
        <v/>
      </c>
      <c r="D31" s="35">
        <f>IF($C$10=0,0,C31/$C$10)</f>
        <v/>
      </c>
    </row>
    <row r="32">
      <c r="A32" s="32" t="inlineStr">
        <is>
          <t>LABA SEBELUM PAJAK</t>
        </is>
      </c>
      <c r="B32" s="33" t="n"/>
      <c r="C32" s="34">
        <f>C26+C31</f>
        <v/>
      </c>
      <c r="D32" s="35">
        <f>IF($C$10=0,0,C32/$C$10)</f>
        <v/>
      </c>
    </row>
    <row r="33">
      <c r="A33" s="27" t="inlineStr">
        <is>
          <t>Beban pajak penghasilan (estimasi)</t>
        </is>
      </c>
      <c r="B33" s="29" t="n"/>
      <c r="C33" s="30">
        <f>MAX(0,C32)*PARAMETER!$C$9</f>
        <v/>
      </c>
      <c r="D33" s="31">
        <f>IF($C$10=0,0,C33/$C$10)</f>
        <v/>
      </c>
    </row>
    <row r="34">
      <c r="A34" s="37" t="inlineStr">
        <is>
          <t>LABA BERSIH</t>
        </is>
      </c>
      <c r="B34" s="38" t="n"/>
      <c r="C34" s="39">
        <f>C32-C33</f>
        <v/>
      </c>
      <c r="D34" s="40">
        <f>IF($C$10=0,0,C34/$C$10)</f>
        <v/>
      </c>
    </row>
    <row r="35">
      <c r="A35" s="36" t="inlineStr">
        <is>
          <t>Margin laba bersih</t>
        </is>
      </c>
      <c r="B35" s="27" t="n"/>
      <c r="C35" s="31">
        <f>IF(C10=0,0,C34/C10)</f>
        <v/>
      </c>
      <c r="D35" s="27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22" customWidth="1" min="3" max="3"/>
  </cols>
  <sheetData>
    <row r="1" ht="24" customHeight="1">
      <c r="A1" s="13" t="inlineStr">
        <is>
          <t>Laporan Posisi Keuangan (Neraca)</t>
        </is>
      </c>
    </row>
    <row r="2">
      <c r="A2" s="14">
        <f>PARAMETER!C5&amp;"  |  Per "&amp;TEXT(PARAMETER!C8,"dd mmm yyyy")&amp;"  |  dalam Rupiah"</f>
        <v/>
      </c>
    </row>
    <row r="3">
      <c r="A3" s="15" t="inlineStr">
        <is>
          <t>VERSI DEMO: kapasitas &amp; fitur dibatasi, data simulasi. Versi lengkap: WhatsApp 089623291732</t>
        </is>
      </c>
    </row>
    <row r="5" ht="30" customHeight="1">
      <c r="A5" s="20" t="inlineStr">
        <is>
          <t>Uraian</t>
        </is>
      </c>
      <c r="B5" s="20" t="inlineStr">
        <is>
          <t>Kode</t>
        </is>
      </c>
      <c r="C5" s="20" t="inlineStr">
        <is>
          <t>Saldo (Rp)</t>
        </is>
      </c>
    </row>
    <row r="6">
      <c r="A6" s="6" t="inlineStr">
        <is>
          <t>ASET LANCAR</t>
        </is>
      </c>
      <c r="B6" s="7" t="n"/>
      <c r="C6" s="7" t="n"/>
    </row>
    <row r="7">
      <c r="A7" s="27" t="inlineStr">
        <is>
          <t>Kas</t>
        </is>
      </c>
      <c r="B7" s="29" t="n">
        <v>1101</v>
      </c>
      <c r="C7" s="30">
        <f>(SUMIFS(JURNAL!$F$6:$F$85,JURNAL!$C$6:$C$85,1101,JURNAL!$A$6:$A$85,"&lt;="&amp;PARAMETER!$C$8)-SUMIFS(JURNAL!$G$6:$G$85,JURNAL!$C$6:$C$85,1101,JURNAL!$A$6:$A$85,"&lt;="&amp;PARAMETER!$C$8))</f>
        <v/>
      </c>
    </row>
    <row r="8">
      <c r="A8" s="27" t="inlineStr">
        <is>
          <t>Bank</t>
        </is>
      </c>
      <c r="B8" s="29" t="n">
        <v>1102</v>
      </c>
      <c r="C8" s="30">
        <f>(SUMIFS(JURNAL!$F$6:$F$85,JURNAL!$C$6:$C$85,1102,JURNAL!$A$6:$A$85,"&lt;="&amp;PARAMETER!$C$8)-SUMIFS(JURNAL!$G$6:$G$85,JURNAL!$C$6:$C$85,1102,JURNAL!$A$6:$A$85,"&lt;="&amp;PARAMETER!$C$8))</f>
        <v/>
      </c>
    </row>
    <row r="9">
      <c r="A9" s="27" t="inlineStr">
        <is>
          <t>Piutang Usaha</t>
        </is>
      </c>
      <c r="B9" s="29" t="n">
        <v>1201</v>
      </c>
      <c r="C9" s="30">
        <f>(SUMIFS(JURNAL!$F$6:$F$85,JURNAL!$C$6:$C$85,1201,JURNAL!$A$6:$A$85,"&lt;="&amp;PARAMETER!$C$8)-SUMIFS(JURNAL!$G$6:$G$85,JURNAL!$C$6:$C$85,1201,JURNAL!$A$6:$A$85,"&lt;="&amp;PARAMETER!$C$8))</f>
        <v/>
      </c>
    </row>
    <row r="10">
      <c r="A10" s="27" t="inlineStr">
        <is>
          <t>Persediaan Barang Dagang</t>
        </is>
      </c>
      <c r="B10" s="29" t="n">
        <v>1301</v>
      </c>
      <c r="C10" s="30">
        <f>(SUMIFS(JURNAL!$F$6:$F$85,JURNAL!$C$6:$C$85,1301,JURNAL!$A$6:$A$85,"&lt;="&amp;PARAMETER!$C$8)-SUMIFS(JURNAL!$G$6:$G$85,JURNAL!$C$6:$C$85,1301,JURNAL!$A$6:$A$85,"&lt;="&amp;PARAMETER!$C$8))</f>
        <v/>
      </c>
    </row>
    <row r="11">
      <c r="A11" s="27" t="inlineStr">
        <is>
          <t>Beban Dibayar Dimuka</t>
        </is>
      </c>
      <c r="B11" s="29" t="n">
        <v>1401</v>
      </c>
      <c r="C11" s="30">
        <f>(SUMIFS(JURNAL!$F$6:$F$85,JURNAL!$C$6:$C$85,1401,JURNAL!$A$6:$A$85,"&lt;="&amp;PARAMETER!$C$8)-SUMIFS(JURNAL!$G$6:$G$85,JURNAL!$C$6:$C$85,1401,JURNAL!$A$6:$A$85,"&lt;="&amp;PARAMETER!$C$8))</f>
        <v/>
      </c>
    </row>
    <row r="12">
      <c r="A12" s="27" t="inlineStr">
        <is>
          <t>Aset lancar lainnya</t>
        </is>
      </c>
      <c r="B12" s="29" t="n"/>
      <c r="C12" s="30">
        <f>(SUMIFS(JURNAL!$F$6:$F$85,JURNAL!$J$6:$J$85,"Aset Lancar",JURNAL!$A$6:$A$85,"&lt;="&amp;PARAMETER!$C$8)-SUMIFS(JURNAL!$G$6:$G$85,JURNAL!$J$6:$J$85,"Aset Lancar",JURNAL!$A$6:$A$85,"&lt;="&amp;PARAMETER!$C$8))-SUM(C7:C11)</f>
        <v/>
      </c>
    </row>
    <row r="13">
      <c r="A13" s="32" t="inlineStr">
        <is>
          <t>TOTAL ASET LANCAR</t>
        </is>
      </c>
      <c r="B13" s="33" t="n"/>
      <c r="C13" s="34">
        <f>SUM(C7:C12)</f>
        <v/>
      </c>
    </row>
    <row r="14">
      <c r="A14" s="6" t="inlineStr">
        <is>
          <t>ASET TETAP</t>
        </is>
      </c>
      <c r="B14" s="7" t="n"/>
      <c r="C14" s="7" t="n"/>
    </row>
    <row r="15">
      <c r="A15" s="27" t="inlineStr">
        <is>
          <t>Peralatan Kantor</t>
        </is>
      </c>
      <c r="B15" s="29" t="n">
        <v>1501</v>
      </c>
      <c r="C15" s="30">
        <f>(SUMIFS(JURNAL!$F$6:$F$85,JURNAL!$C$6:$C$85,1501,JURNAL!$A$6:$A$85,"&lt;="&amp;PARAMETER!$C$8)-SUMIFS(JURNAL!$G$6:$G$85,JURNAL!$C$6:$C$85,1501,JURNAL!$A$6:$A$85,"&lt;="&amp;PARAMETER!$C$8))</f>
        <v/>
      </c>
    </row>
    <row r="16">
      <c r="A16" s="27" t="inlineStr">
        <is>
          <t>Akumulasi Penyusutan Peralatan</t>
        </is>
      </c>
      <c r="B16" s="29" t="n">
        <v>1502</v>
      </c>
      <c r="C16" s="30">
        <f>(SUMIFS(JURNAL!$F$6:$F$85,JURNAL!$C$6:$C$85,1502,JURNAL!$A$6:$A$85,"&lt;="&amp;PARAMETER!$C$8)-SUMIFS(JURNAL!$G$6:$G$85,JURNAL!$C$6:$C$85,1502,JURNAL!$A$6:$A$85,"&lt;="&amp;PARAMETER!$C$8))</f>
        <v/>
      </c>
    </row>
    <row r="17">
      <c r="A17" s="27" t="inlineStr">
        <is>
          <t>Aset tetap lainnya</t>
        </is>
      </c>
      <c r="B17" s="29" t="n"/>
      <c r="C17" s="30">
        <f>(SUMIFS(JURNAL!$F$6:$F$85,JURNAL!$J$6:$J$85,"Aset Tetap",JURNAL!$A$6:$A$85,"&lt;="&amp;PARAMETER!$C$8)-SUMIFS(JURNAL!$G$6:$G$85,JURNAL!$J$6:$J$85,"Aset Tetap",JURNAL!$A$6:$A$85,"&lt;="&amp;PARAMETER!$C$8))-C15-C16</f>
        <v/>
      </c>
    </row>
    <row r="18">
      <c r="A18" s="32" t="inlineStr">
        <is>
          <t>TOTAL ASET TETAP (NETO)</t>
        </is>
      </c>
      <c r="B18" s="33" t="n"/>
      <c r="C18" s="34">
        <f>SUM(C15:C17)</f>
        <v/>
      </c>
    </row>
    <row r="19">
      <c r="A19" s="37" t="inlineStr">
        <is>
          <t>TOTAL ASET</t>
        </is>
      </c>
      <c r="B19" s="38" t="n"/>
      <c r="C19" s="39">
        <f>C13+C18</f>
        <v/>
      </c>
    </row>
    <row r="21">
      <c r="A21" s="6" t="inlineStr">
        <is>
          <t>KEWAJIBAN LANCAR</t>
        </is>
      </c>
      <c r="B21" s="7" t="n"/>
      <c r="C21" s="7" t="n"/>
    </row>
    <row r="22">
      <c r="A22" s="27" t="inlineStr">
        <is>
          <t>Utang Usaha</t>
        </is>
      </c>
      <c r="B22" s="29" t="n">
        <v>2101</v>
      </c>
      <c r="C22" s="30">
        <f>-(SUMIFS(JURNAL!$F$6:$F$85,JURNAL!$C$6:$C$85,2101,JURNAL!$A$6:$A$85,"&lt;="&amp;PARAMETER!$C$8)-SUMIFS(JURNAL!$G$6:$G$85,JURNAL!$C$6:$C$85,2101,JURNAL!$A$6:$A$85,"&lt;="&amp;PARAMETER!$C$8))</f>
        <v/>
      </c>
    </row>
    <row r="23">
      <c r="A23" s="27" t="inlineStr">
        <is>
          <t>Utang Gaji</t>
        </is>
      </c>
      <c r="B23" s="29" t="n">
        <v>2102</v>
      </c>
      <c r="C23" s="30">
        <f>-(SUMIFS(JURNAL!$F$6:$F$85,JURNAL!$C$6:$C$85,2102,JURNAL!$A$6:$A$85,"&lt;="&amp;PARAMETER!$C$8)-SUMIFS(JURNAL!$G$6:$G$85,JURNAL!$C$6:$C$85,2102,JURNAL!$A$6:$A$85,"&lt;="&amp;PARAMETER!$C$8))</f>
        <v/>
      </c>
    </row>
    <row r="24">
      <c r="A24" s="27" t="inlineStr">
        <is>
          <t>Utang Pajak</t>
        </is>
      </c>
      <c r="B24" s="29" t="n">
        <v>2103</v>
      </c>
      <c r="C24" s="30">
        <f>-(SUMIFS(JURNAL!$F$6:$F$85,JURNAL!$C$6:$C$85,2103,JURNAL!$A$6:$A$85,"&lt;="&amp;PARAMETER!$C$8)-SUMIFS(JURNAL!$G$6:$G$85,JURNAL!$C$6:$C$85,2103,JURNAL!$A$6:$A$85,"&lt;="&amp;PARAMETER!$C$8))</f>
        <v/>
      </c>
    </row>
    <row r="25">
      <c r="A25" s="27" t="inlineStr">
        <is>
          <t>Estimasi utang pajak penghasilan</t>
        </is>
      </c>
      <c r="B25" s="29" t="n"/>
      <c r="C25" s="30">
        <f>C44</f>
        <v/>
      </c>
    </row>
    <row r="26">
      <c r="A26" s="27" t="inlineStr">
        <is>
          <t>Kewajiban lancar lainnya</t>
        </is>
      </c>
      <c r="B26" s="29" t="n"/>
      <c r="C26" s="30">
        <f>-(SUMIFS(JURNAL!$F$6:$F$85,JURNAL!$J$6:$J$85,"Kewajiban Lancar",JURNAL!$A$6:$A$85,"&lt;="&amp;PARAMETER!$C$8)-SUMIFS(JURNAL!$G$6:$G$85,JURNAL!$J$6:$J$85,"Kewajiban Lancar",JURNAL!$A$6:$A$85,"&lt;="&amp;PARAMETER!$C$8))-SUM(C22:C24)</f>
        <v/>
      </c>
    </row>
    <row r="27">
      <c r="A27" s="32" t="inlineStr">
        <is>
          <t>TOTAL KEWAJIBAN LANCAR</t>
        </is>
      </c>
      <c r="B27" s="33" t="n"/>
      <c r="C27" s="34">
        <f>SUM(C22:C26)</f>
        <v/>
      </c>
    </row>
    <row r="28">
      <c r="A28" s="6" t="inlineStr">
        <is>
          <t>KEWAJIBAN JANGKA PANJANG</t>
        </is>
      </c>
      <c r="B28" s="7" t="n"/>
      <c r="C28" s="7" t="n"/>
    </row>
    <row r="29">
      <c r="A29" s="27" t="inlineStr">
        <is>
          <t>Utang Bank Jangka Panjang</t>
        </is>
      </c>
      <c r="B29" s="29" t="n">
        <v>2201</v>
      </c>
      <c r="C29" s="30">
        <f>-(SUMIFS(JURNAL!$F$6:$F$85,JURNAL!$C$6:$C$85,2201,JURNAL!$A$6:$A$85,"&lt;="&amp;PARAMETER!$C$8)-SUMIFS(JURNAL!$G$6:$G$85,JURNAL!$C$6:$C$85,2201,JURNAL!$A$6:$A$85,"&lt;="&amp;PARAMETER!$C$8))</f>
        <v/>
      </c>
    </row>
    <row r="30">
      <c r="A30" s="27" t="inlineStr">
        <is>
          <t>Kewajiban jangka panjang lainnya</t>
        </is>
      </c>
      <c r="B30" s="29" t="n"/>
      <c r="C30" s="30">
        <f>-(SUMIFS(JURNAL!$F$6:$F$85,JURNAL!$J$6:$J$85,"Kewajiban Jangka Panjang",JURNAL!$A$6:$A$85,"&lt;="&amp;PARAMETER!$C$8)-SUMIFS(JURNAL!$G$6:$G$85,JURNAL!$J$6:$J$85,"Kewajiban Jangka Panjang",JURNAL!$A$6:$A$85,"&lt;="&amp;PARAMETER!$C$8))-C29</f>
        <v/>
      </c>
    </row>
    <row r="31">
      <c r="A31" s="32" t="inlineStr">
        <is>
          <t>TOTAL KEWAJIBAN JANGKA PANJANG</t>
        </is>
      </c>
      <c r="B31" s="33" t="n"/>
      <c r="C31" s="34">
        <f>SUM(C29:C30)</f>
        <v/>
      </c>
    </row>
    <row r="32">
      <c r="A32" s="32" t="inlineStr">
        <is>
          <t>TOTAL KEWAJIBAN</t>
        </is>
      </c>
      <c r="B32" s="33" t="n"/>
      <c r="C32" s="34">
        <f>C27+C31</f>
        <v/>
      </c>
    </row>
    <row r="34">
      <c r="A34" s="6" t="inlineStr">
        <is>
          <t>EKUITAS</t>
        </is>
      </c>
      <c r="B34" s="7" t="n"/>
      <c r="C34" s="7" t="n"/>
    </row>
    <row r="35">
      <c r="A35" s="27" t="inlineStr">
        <is>
          <t>Modal Disetor</t>
        </is>
      </c>
      <c r="B35" s="29" t="n">
        <v>3101</v>
      </c>
      <c r="C35" s="30">
        <f>-(SUMIFS(JURNAL!$F$6:$F$85,JURNAL!$C$6:$C$85,3101,JURNAL!$A$6:$A$85,"&lt;="&amp;PARAMETER!$C$8)-SUMIFS(JURNAL!$G$6:$G$85,JURNAL!$C$6:$C$85,3101,JURNAL!$A$6:$A$85,"&lt;="&amp;PARAMETER!$C$8))</f>
        <v/>
      </c>
    </row>
    <row r="36">
      <c r="A36" s="27" t="inlineStr">
        <is>
          <t>Laba Ditahan</t>
        </is>
      </c>
      <c r="B36" s="29" t="n">
        <v>3201</v>
      </c>
      <c r="C36" s="30">
        <f>-(SUMIFS(JURNAL!$F$6:$F$85,JURNAL!$C$6:$C$85,3201,JURNAL!$A$6:$A$85,"&lt;="&amp;PARAMETER!$C$8)-SUMIFS(JURNAL!$G$6:$G$85,JURNAL!$C$6:$C$85,3201,JURNAL!$A$6:$A$85,"&lt;="&amp;PARAMETER!$C$8))</f>
        <v/>
      </c>
    </row>
    <row r="37">
      <c r="A37" s="27" t="inlineStr">
        <is>
          <t>Ekuitas lainnya</t>
        </is>
      </c>
      <c r="B37" s="29" t="n"/>
      <c r="C37" s="30">
        <f>-(SUMIFS(JURNAL!$F$6:$F$85,JURNAL!$J$6:$J$85,"Ekuitas",JURNAL!$A$6:$A$85,"&lt;="&amp;PARAMETER!$C$8)-SUMIFS(JURNAL!$G$6:$G$85,JURNAL!$J$6:$J$85,"Ekuitas",JURNAL!$A$6:$A$85,"&lt;="&amp;PARAMETER!$C$8))-C35-C36</f>
        <v/>
      </c>
    </row>
    <row r="38">
      <c r="A38" s="27" t="inlineStr">
        <is>
          <t>Laba berjalan (setelah pajak)</t>
        </is>
      </c>
      <c r="B38" s="29" t="n"/>
      <c r="C38" s="30">
        <f>C43-C44</f>
        <v/>
      </c>
    </row>
    <row r="39">
      <c r="A39" s="32" t="inlineStr">
        <is>
          <t>TOTAL EKUITAS</t>
        </is>
      </c>
      <c r="B39" s="33" t="n"/>
      <c r="C39" s="34">
        <f>SUM(C35:C38)</f>
        <v/>
      </c>
    </row>
    <row r="40">
      <c r="A40" s="37" t="inlineStr">
        <is>
          <t>TOTAL KEWAJIBAN + EKUITAS</t>
        </is>
      </c>
      <c r="B40" s="38" t="n"/>
      <c r="C40" s="39">
        <f>C32+C39</f>
        <v/>
      </c>
    </row>
    <row r="41">
      <c r="A41" s="16" t="inlineStr">
        <is>
          <t>Cek keseimbangan</t>
        </is>
      </c>
      <c r="B41" s="27" t="n"/>
      <c r="C41" s="25">
        <f>IF(ROUND(C19-C40,0)=0,"SEIMBANG","SELISIH "&amp;TEXT(C19-C40,"#,##0"))</f>
        <v/>
      </c>
    </row>
    <row r="42">
      <c r="A42" s="6" t="inlineStr">
        <is>
          <t>PERHITUNGAN BANTU</t>
        </is>
      </c>
      <c r="B42" s="7" t="n"/>
      <c r="C42" s="7" t="n"/>
    </row>
    <row r="43">
      <c r="A43" s="27" t="inlineStr">
        <is>
          <t>Laba sebelum pajak (awal tahun buku s.d. akhir periode)</t>
        </is>
      </c>
      <c r="B43" s="29" t="n"/>
      <c r="C43" s="30">
        <f>(SUMIFS(JURNAL!$G$6:$G$85,JURNAL!$I$6:$I$85,"Pendapatan",JURNAL!$A$6:$A$85,"&gt;="&amp;PARAMETER!$C$6,JURNAL!$A$6:$A$85,"&lt;="&amp;PARAMETER!$C$8)-SUMIFS(JURNAL!$F$6:$F$85,JURNAL!$I$6:$I$85,"Pendapatan",JURNAL!$A$6:$A$85,"&gt;="&amp;PARAMETER!$C$6,JURNAL!$A$6:$A$85,"&lt;="&amp;PARAMETER!$C$8))-(SUMIFS(JURNAL!$F$6:$F$85,JURNAL!$I$6:$I$85,"Beban",JURNAL!$A$6:$A$85,"&gt;="&amp;PARAMETER!$C$6,JURNAL!$A$6:$A$85,"&lt;="&amp;PARAMETER!$C$8)-SUMIFS(JURNAL!$G$6:$G$85,JURNAL!$I$6:$I$85,"Beban",JURNAL!$A$6:$A$85,"&gt;="&amp;PARAMETER!$C$6,JURNAL!$A$6:$A$85,"&lt;="&amp;PARAMETER!$C$8))</f>
        <v/>
      </c>
    </row>
    <row r="44">
      <c r="A44" s="27" t="inlineStr">
        <is>
          <t>Estimasi pajak penghasilan (tarif × laba sebelum pajak)</t>
        </is>
      </c>
      <c r="B44" s="29" t="n"/>
      <c r="C44" s="30">
        <f>MAX(0,C43)*PARAMETER!$C$9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C3"/>
  </mergeCells>
  <conditionalFormatting sqref="C41">
    <cfRule type="cellIs" priority="1" operator="equal" dxfId="1">
      <formula>"SEIMBANG"</formula>
    </cfRule>
    <cfRule type="expression" priority="2" dxfId="0">
      <formula>C41&lt;&gt;"SEIMBANG"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392B"/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0" customWidth="1" min="3" max="3"/>
  </cols>
  <sheetData>
    <row r="2">
      <c r="B2" s="41" t="inlineStr">
        <is>
          <t>Fitur Versi Lengkap</t>
        </is>
      </c>
    </row>
    <row r="3" ht="32" customHeight="1">
      <c r="B3" s="42" t="inlineStr">
        <is>
          <t>DASHBOARD</t>
        </is>
      </c>
    </row>
    <row r="5" ht="48" customHeight="1">
      <c r="B5" s="43" t="inlineStr">
        <is>
          <t>Ringkasan KPI, rasio keuangan, grafik pendapatan vs beban bulanan, dan komposisi beban.</t>
        </is>
      </c>
    </row>
    <row r="7">
      <c r="B7" s="11" t="inlineStr">
        <is>
          <t>• Sheet ini hanya tersedia di versi lengkap, lengkap dengan rumus dan grafik yang bekerja dari data Anda.</t>
        </is>
      </c>
    </row>
    <row r="8">
      <c r="B8" s="11" t="inlineStr">
        <is>
          <t>• Kapasitas data versi lengkap jauh lebih besar dibanding demo.</t>
        </is>
      </c>
    </row>
    <row r="9">
      <c r="B9" s="44" t="inlineStr">
        <is>
          <t>• Pesan versi lengkap lewat WhatsApp 089623291732.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Mantam Product</dc:creator>
  <dc:title xmlns:dc="http://purl.org/dc/elements/1.1/">Akuntansi Terintegrasi (Demo)</dc:title>
  <dc:subject xmlns:dc="http://purl.org/dc/elements/1.1/">Lisensi: demo</dc:subject>
  <dcterms:created xmlns:dcterms="http://purl.org/dc/terms/" xmlns:xsi="http://www.w3.org/2001/XMLSchema-instance" xsi:type="dcterms:W3CDTF">2026-10-29T23:17:30Z</dcterms:created>
  <dcterms:modified xmlns:dcterms="http://purl.org/dc/terms/" xmlns:xsi="http://www.w3.org/2001/XMLSchema-instance" xsi:type="dcterms:W3CDTF">2026-10-29T23:17:30Z</dcterms:modified>
</cp:coreProperties>
</file>